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Veda\VerveStacks\assumptions\"/>
    </mc:Choice>
  </mc:AlternateContent>
  <xr:revisionPtr revIDLastSave="0" documentId="13_ncr:1_{0E658EE6-B168-4EF9-82BB-EF4F6204BF3A}" xr6:coauthVersionLast="47" xr6:coauthVersionMax="47" xr10:uidLastSave="{00000000-0000-0000-0000-000000000000}"/>
  <bookViews>
    <workbookView xWindow="-98" yWindow="-98" windowWidth="28996" windowHeight="17475" firstSheet="1" activeTab="7" xr2:uid="{00000000-000D-0000-FFFF-FFFF00000000}"/>
  </bookViews>
  <sheets>
    <sheet name="irena_ember_typemap" sheetId="2" r:id="rId1"/>
    <sheet name="gem_techmap" sheetId="3" r:id="rId2"/>
    <sheet name="gem_statusmap" sheetId="24" r:id="rId3"/>
    <sheet name="unsd_region_map" sheetId="4" r:id="rId4"/>
    <sheet name="unsd_product_map" sheetId="5" r:id="rId5"/>
    <sheet name="unsd_flow_map" sheetId="6" r:id="rId6"/>
    <sheet name="iamc_variables" sheetId="7" r:id="rId7"/>
    <sheet name="ar6r10_iso_mapping" sheetId="20" r:id="rId8"/>
    <sheet name="kinesys_region_map" sheetId="8" r:id="rId9"/>
    <sheet name="weo_pg_techs" sheetId="13" r:id="rId10"/>
    <sheet name="storage_techs" sheetId="14" r:id="rId11"/>
    <sheet name="dem_techs" sheetId="15" r:id="rId12"/>
    <sheet name="base_ts_design" sheetId="16" r:id="rId13"/>
    <sheet name="stress_periods_config" sheetId="17" r:id="rId14"/>
    <sheet name="_stress_periods_configFULL" sheetId="23" r:id="rId15"/>
    <sheet name="buildrates" sheetId="18" r:id="rId16"/>
    <sheet name="buildrate_readme" sheetId="19" r:id="rId17"/>
    <sheet name="fuel_prices" sheetId="21" r:id="rId18"/>
    <sheet name="fuel_prices_readme" sheetId="22" r:id="rId19"/>
    <sheet name="loadshape_roadtransport" sheetId="11" r:id="rId20"/>
  </sheets>
  <definedNames>
    <definedName name="_xlnm._FilterDatabase" localSheetId="17" hidden="1">fuel_prices!#REF!</definedName>
    <definedName name="_xlnm._FilterDatabase" localSheetId="6" hidden="1">iamc_variables!$A$1:$D$183</definedName>
    <definedName name="_xlnm._FilterDatabase" localSheetId="5" hidden="1">unsd_flow_map!$A$1:$H$265</definedName>
    <definedName name="_xlnm._FilterDatabase" localSheetId="4" hidden="1">unsd_product_map!$A$1:$F$87</definedName>
    <definedName name="_xlnm._FilterDatabase" localSheetId="3" hidden="1">unsd_region_map!$A$1:$D$311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3" l="1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O6" i="17"/>
  <c r="A6" i="17" s="1"/>
  <c r="O5" i="17"/>
  <c r="A5" i="17"/>
  <c r="O13" i="23"/>
  <c r="A13" i="23" s="1"/>
  <c r="O12" i="23"/>
  <c r="A12" i="23" s="1"/>
  <c r="O11" i="23"/>
  <c r="A11" i="23" s="1"/>
  <c r="O10" i="23"/>
  <c r="A10" i="23" s="1"/>
  <c r="O9" i="23"/>
  <c r="A9" i="23"/>
  <c r="O8" i="23"/>
  <c r="A8" i="23"/>
  <c r="O7" i="23"/>
  <c r="A7" i="23" s="1"/>
  <c r="O6" i="23"/>
  <c r="O5" i="23"/>
  <c r="O4" i="23"/>
  <c r="O3" i="23"/>
  <c r="O2" i="2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O3" i="17" l="1"/>
  <c r="O4" i="17"/>
  <c r="O7" i="17"/>
  <c r="A7" i="17" s="1"/>
  <c r="O8" i="17"/>
  <c r="A8" i="17" s="1"/>
  <c r="O9" i="17"/>
  <c r="A9" i="17" s="1"/>
  <c r="O2" i="17"/>
  <c r="D52" i="3"/>
  <c r="D51" i="3"/>
  <c r="D53" i="3" s="1"/>
  <c r="D50" i="3"/>
  <c r="D42" i="3" s="1"/>
  <c r="D49" i="3"/>
  <c r="D48" i="3"/>
  <c r="D47" i="3"/>
  <c r="D46" i="3"/>
  <c r="D45" i="3"/>
  <c r="D44" i="3"/>
  <c r="D43" i="3"/>
  <c r="D10" i="3"/>
  <c r="D9" i="3"/>
  <c r="D8" i="3"/>
  <c r="D12" i="3" s="1"/>
  <c r="D7" i="3"/>
  <c r="D6" i="3"/>
  <c r="D5" i="3"/>
  <c r="D11" i="3" s="1"/>
  <c r="D4" i="3"/>
  <c r="D3" i="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" i="6"/>
  <c r="D54" i="3" l="1"/>
  <c r="D41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2" i="5"/>
  <c r="G82" i="6"/>
  <c r="G81" i="6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3" i="2"/>
  <c r="E24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B21402E1-964C-4F58-84D5-DB94469A4583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11-09-2025
oil/gas would be resolved based on the Fuel col in GEM data
</t>
        </r>
      </text>
    </comment>
  </commentList>
</comments>
</file>

<file path=xl/sharedStrings.xml><?xml version="1.0" encoding="utf-8"?>
<sst xmlns="http://schemas.openxmlformats.org/spreadsheetml/2006/main" count="5344" uniqueCount="2423">
  <si>
    <t>Type</t>
  </si>
  <si>
    <t>EMBER</t>
  </si>
  <si>
    <t>IRENA</t>
  </si>
  <si>
    <t>bioenergy</t>
  </si>
  <si>
    <t>Bioenergy</t>
  </si>
  <si>
    <t>Biogas</t>
  </si>
  <si>
    <t>coal</t>
  </si>
  <si>
    <t>Coal</t>
  </si>
  <si>
    <t>Coal and peat</t>
  </si>
  <si>
    <t>Fossil fuels n.e.s.</t>
  </si>
  <si>
    <t>Gas</t>
  </si>
  <si>
    <t>geothermal</t>
  </si>
  <si>
    <t>Geothermal energy</t>
  </si>
  <si>
    <t>Hydro</t>
  </si>
  <si>
    <t>hydropower</t>
  </si>
  <si>
    <t>Liquid biofuels</t>
  </si>
  <si>
    <t>Mixed Hydro Plants</t>
  </si>
  <si>
    <t>Natural gas</t>
  </si>
  <si>
    <t>Nuclear</t>
  </si>
  <si>
    <t>nuclear</t>
  </si>
  <si>
    <t>Offshore wind energy</t>
  </si>
  <si>
    <t>Oil</t>
  </si>
  <si>
    <t>Onshore wind energy</t>
  </si>
  <si>
    <t>Other Fossil</t>
  </si>
  <si>
    <t>Other non-renewable energy</t>
  </si>
  <si>
    <t>Other Renewables</t>
  </si>
  <si>
    <t>Pumped storage</t>
  </si>
  <si>
    <t>Renewable hydropower</t>
  </si>
  <si>
    <t>Renewable municipal waste</t>
  </si>
  <si>
    <t>Solar</t>
  </si>
  <si>
    <t>solar</t>
  </si>
  <si>
    <t>Solar photovoltaic</t>
  </si>
  <si>
    <t>Solar thermal energy</t>
  </si>
  <si>
    <t>Solid biofuels</t>
  </si>
  <si>
    <t>Wind</t>
  </si>
  <si>
    <t>wind</t>
  </si>
  <si>
    <t>hydro</t>
  </si>
  <si>
    <t>Source</t>
  </si>
  <si>
    <t>offshore</t>
  </si>
  <si>
    <t>onshore</t>
  </si>
  <si>
    <t>csp</t>
  </si>
  <si>
    <t>solar pv</t>
  </si>
  <si>
    <t>Technology</t>
  </si>
  <si>
    <t>announced</t>
  </si>
  <si>
    <t>construction</t>
  </si>
  <si>
    <t>mothballed</t>
  </si>
  <si>
    <t>operating</t>
  </si>
  <si>
    <t>pre-construction</t>
  </si>
  <si>
    <t>CFB</t>
  </si>
  <si>
    <t>IGCC</t>
  </si>
  <si>
    <t>subcritical</t>
  </si>
  <si>
    <t>subcritical/CCS</t>
  </si>
  <si>
    <t>supercritical</t>
  </si>
  <si>
    <t>supercritical/CCS</t>
  </si>
  <si>
    <t>ultra-supercritical</t>
  </si>
  <si>
    <t>ultra-supercritical/CCS</t>
  </si>
  <si>
    <t>unknown</t>
  </si>
  <si>
    <t>unknown/CCS</t>
  </si>
  <si>
    <t>advanced geothermal systems (AGS)</t>
  </si>
  <si>
    <t>binary cycle</t>
  </si>
  <si>
    <t>dry steam</t>
  </si>
  <si>
    <t>enhanced geothermal systems (EGS)</t>
  </si>
  <si>
    <t>flash steam - double</t>
  </si>
  <si>
    <t>flash steam - single</t>
  </si>
  <si>
    <t>flash steam - triple</t>
  </si>
  <si>
    <t>flash steam - unknown</t>
  </si>
  <si>
    <t>geopressured geothermal system (GGS)</t>
  </si>
  <si>
    <t>unknown type</t>
  </si>
  <si>
    <t>conventional and pumped storage</t>
  </si>
  <si>
    <t>conventional and run-of-river</t>
  </si>
  <si>
    <t>conventional storage</t>
  </si>
  <si>
    <t>pumped storage</t>
  </si>
  <si>
    <t>run-of-river</t>
  </si>
  <si>
    <t>boiling water reactor</t>
  </si>
  <si>
    <t>fast breeder reactor</t>
  </si>
  <si>
    <t>fast neutron reactor</t>
  </si>
  <si>
    <t>gas-cooled reactor</t>
  </si>
  <si>
    <t>high temperature gas reactor</t>
  </si>
  <si>
    <t>light water graphite reactor</t>
  </si>
  <si>
    <t>liquid-metal-cooled fast reactor</t>
  </si>
  <si>
    <t>molten salt reactor</t>
  </si>
  <si>
    <t>pressurized heavy water reactor</t>
  </si>
  <si>
    <t>pressurized water reactor</t>
  </si>
  <si>
    <t>small modular reactor</t>
  </si>
  <si>
    <t>combined cycle</t>
  </si>
  <si>
    <t>gas turbine</t>
  </si>
  <si>
    <t>ICCC</t>
  </si>
  <si>
    <t>internal combustion</t>
  </si>
  <si>
    <t>ISCC</t>
  </si>
  <si>
    <t>steam turbine</t>
  </si>
  <si>
    <t>Assumed PV</t>
  </si>
  <si>
    <t>PV</t>
  </si>
  <si>
    <t>Solar Thermal</t>
  </si>
  <si>
    <t>Offshore floating</t>
  </si>
  <si>
    <t>Offshore hard mount</t>
  </si>
  <si>
    <t>Onshore</t>
  </si>
  <si>
    <t>Unknown</t>
  </si>
  <si>
    <t>ror</t>
  </si>
  <si>
    <t>ps</t>
  </si>
  <si>
    <t>model_fuel</t>
  </si>
  <si>
    <t>model_tech</t>
  </si>
  <si>
    <t>model_name</t>
  </si>
  <si>
    <t>Criteria</t>
  </si>
  <si>
    <t>Code</t>
  </si>
  <si>
    <t>Desc</t>
  </si>
  <si>
    <t>ISO</t>
  </si>
  <si>
    <t>REF_AREA</t>
  </si>
  <si>
    <t>Afghanistan</t>
  </si>
  <si>
    <t>AFG</t>
  </si>
  <si>
    <t>Africa CAMEU region, not elsewhere specified</t>
  </si>
  <si>
    <t>Africa, not elsewhere specified</t>
  </si>
  <si>
    <t>Åland Islands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</si>
  <si>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</si>
  <si>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</si>
  <si>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</si>
  <si>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</si>
  <si>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</si>
  <si>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</si>
  <si>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</si>
  <si>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</si>
  <si>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</si>
  <si>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</si>
  <si>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</si>
  <si>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</si>
  <si>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</si>
  <si>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N/A</t>
  </si>
  <si>
    <t>Antigua and Barbuda</t>
  </si>
  <si>
    <t>ATG</t>
  </si>
  <si>
    <t>Areas, not elsewhere specified</t>
  </si>
  <si>
    <t>Argentina</t>
  </si>
  <si>
    <t>ARG</t>
  </si>
  <si>
    <t>Armenia</t>
  </si>
  <si>
    <t>ARM</t>
  </si>
  <si>
    <t>Aruba</t>
  </si>
  <si>
    <t>ABW</t>
  </si>
  <si>
    <t>ASEAN</t>
  </si>
  <si>
    <t>Asia, not elsewhere specified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</si>
  <si>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</si>
  <si>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</si>
  <si>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</si>
  <si>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</si>
  <si>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</si>
  <si>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</si>
  <si>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</si>
  <si>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</si>
  <si>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</si>
  <si>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</si>
  <si>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</si>
  <si>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</si>
  <si>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</si>
  <si>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</si>
  <si>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</si>
  <si>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</si>
  <si>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</si>
  <si>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</si>
  <si>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Belgium-Luxembourg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</si>
  <si>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</si>
  <si>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</si>
  <si>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</si>
  <si>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</si>
  <si>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</si>
  <si>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</si>
  <si>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</si>
  <si>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</si>
  <si>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</si>
  <si>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</si>
  <si>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Bonaire, Saint Eustatius and Saba</t>
  </si>
  <si>
    <t>Bosnia and Herzegovina</t>
  </si>
  <si>
    <t>BIH</t>
  </si>
  <si>
    <t>Botswana</t>
  </si>
  <si>
    <t>BWA</t>
  </si>
  <si>
    <t>Bouvet Island</t>
  </si>
  <si>
    <t>Brazil</t>
  </si>
  <si>
    <t>BRA</t>
  </si>
  <si>
    <t>British Antarctic Territories</t>
  </si>
  <si>
    <t>British Indian Ocean Territories</t>
  </si>
  <si>
    <t>British Virgin Islands</t>
  </si>
  <si>
    <t>VGB</t>
  </si>
  <si>
    <t>Brunei Darussalam</t>
  </si>
  <si>
    <t>BRN</t>
  </si>
  <si>
    <t>Bulgaria</t>
  </si>
  <si>
    <t>BGR</t>
  </si>
  <si>
    <t>Bunkers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</si>
  <si>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</si>
  <si>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</si>
  <si>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</si>
  <si>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</si>
  <si>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</si>
  <si>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</si>
  <si>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</si>
  <si>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</si>
  <si>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</si>
  <si>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</si>
  <si>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</si>
  <si>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</si>
  <si>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Caribbean, not elsewhere specified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</si>
  <si>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</si>
  <si>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</si>
  <si>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</si>
  <si>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</si>
  <si>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</si>
  <si>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</si>
  <si>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</si>
  <si>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</si>
  <si>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</si>
  <si>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</si>
  <si>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 Hong Kong</t>
  </si>
  <si>
    <t>China Macau</t>
  </si>
  <si>
    <t>Christmas Island</t>
  </si>
  <si>
    <t>Cocos (Keeling) Islands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</si>
  <si>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</si>
  <si>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</si>
  <si>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</si>
  <si>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</si>
  <si>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</si>
  <si>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</si>
  <si>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</si>
  <si>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</si>
  <si>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</si>
  <si>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</si>
  <si>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</si>
  <si>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</si>
  <si>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</si>
  <si>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</si>
  <si>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</si>
  <si>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</si>
  <si>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</si>
  <si>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</si>
  <si>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</si>
  <si>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</si>
  <si>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</si>
  <si>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</si>
  <si>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</si>
  <si>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</si>
  <si>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</si>
  <si>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</si>
  <si>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</si>
  <si>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</si>
  <si>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</si>
  <si>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</si>
  <si>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</si>
  <si>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</si>
  <si>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</si>
  <si>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and West Pakistan</t>
  </si>
  <si>
    <t>Eastern Europe, not elsewhere specified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</si>
  <si>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</si>
  <si>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</si>
  <si>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</si>
  <si>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</si>
  <si>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</si>
  <si>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</si>
  <si>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</si>
  <si>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</si>
  <si>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</si>
  <si>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</si>
  <si>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</si>
  <si>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</si>
  <si>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</si>
  <si>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</si>
  <si>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</si>
  <si>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</si>
  <si>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EFTA, not elsewhere specified</t>
  </si>
  <si>
    <t>Europe, not elsewhere specified</t>
  </si>
  <si>
    <t>European Union (28)</t>
  </si>
  <si>
    <t>Faeroe Islands</t>
  </si>
  <si>
    <t>FRO</t>
  </si>
  <si>
    <t>Falkland Islands (Malvinas)</t>
  </si>
  <si>
    <t>FLK</t>
  </si>
  <si>
    <t>Fiji</t>
  </si>
  <si>
    <t>FJI</t>
  </si>
  <si>
    <t>Finland</t>
  </si>
  <si>
    <t>FIN</t>
  </si>
  <si>
    <t>Former Arab Republic of Yemen</t>
  </si>
  <si>
    <t>Former Czechoslovakia</t>
  </si>
  <si>
    <t>Former Democratic Republic of Germany</t>
  </si>
  <si>
    <t>Former Democratic Republic of Vietnam</t>
  </si>
  <si>
    <t>Former Democratic Yemen</t>
  </si>
  <si>
    <t>Former Ethiopia</t>
  </si>
  <si>
    <t>Former Federal Republic of Germany</t>
  </si>
  <si>
    <t>Former Netherlands Antilles, excluding Aruba</t>
  </si>
  <si>
    <t>Former Netherlands Antilles, including Aruba</t>
  </si>
  <si>
    <t>Former Pacific Islands (Trust Territory)</t>
  </si>
  <si>
    <t>Former Panama, excluding Canal Zone</t>
  </si>
  <si>
    <t>Former Panama-Canal-Zone</t>
  </si>
  <si>
    <t>Former Republic of Vietnam</t>
  </si>
  <si>
    <t>Former Rhodesia Nyas</t>
  </si>
  <si>
    <t>Former Serbia and Montenegro</t>
  </si>
  <si>
    <t>Former Sudan</t>
  </si>
  <si>
    <t>Former Tanganyika</t>
  </si>
  <si>
    <t>Former Union of Soviet Socialist Republics</t>
  </si>
  <si>
    <t>Former Yugoslavia</t>
  </si>
  <si>
    <t>Former Zanzibar and Pemba Island</t>
  </si>
  <si>
    <t>France</t>
  </si>
  <si>
    <t>FRA</t>
  </si>
  <si>
    <t>France and Monaco</t>
  </si>
  <si>
    <t>Free Zones</t>
  </si>
  <si>
    <t>French Guiana</t>
  </si>
  <si>
    <t>GUF</t>
  </si>
  <si>
    <t>French Polynesia</t>
  </si>
  <si>
    <t>PYF</t>
  </si>
  <si>
    <t>French Southern Territories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</si>
  <si>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</si>
  <si>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</si>
  <si>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</si>
  <si>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</si>
  <si>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</si>
  <si>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</si>
  <si>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</si>
  <si>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</si>
  <si>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</si>
  <si>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</si>
  <si>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</si>
  <si>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</si>
  <si>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</si>
  <si>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</si>
  <si>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</si>
  <si>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</si>
  <si>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</si>
  <si>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</si>
  <si>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</si>
  <si>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</si>
  <si>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</si>
  <si>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</si>
  <si>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</si>
  <si>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</si>
  <si>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</si>
  <si>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</si>
  <si>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</si>
  <si>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</si>
  <si>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</si>
  <si>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</si>
  <si>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</si>
  <si>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</si>
  <si>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</si>
  <si>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</si>
  <si>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Holy See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</si>
  <si>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</si>
  <si>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</si>
  <si>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</si>
  <si>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</si>
  <si>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</si>
  <si>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</si>
  <si>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</si>
  <si>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</si>
  <si>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India, excluding Sikkim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</si>
  <si>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</si>
  <si>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</si>
  <si>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</si>
  <si>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</si>
  <si>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</si>
  <si>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</si>
  <si>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</si>
  <si>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</si>
  <si>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</si>
  <si>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</si>
  <si>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</si>
  <si>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</si>
  <si>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</si>
  <si>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</si>
  <si>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</si>
  <si>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</si>
  <si>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</si>
  <si>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</si>
  <si>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</si>
  <si>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</si>
  <si>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</si>
  <si>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</si>
  <si>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</si>
  <si>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</si>
  <si>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</si>
  <si>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</si>
  <si>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</si>
  <si>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</si>
  <si>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XXK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</si>
  <si>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</si>
  <si>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</si>
  <si>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</si>
  <si>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</si>
  <si>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</si>
  <si>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</si>
  <si>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</si>
  <si>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</si>
  <si>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</si>
  <si>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</si>
  <si>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</si>
  <si>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</si>
  <si>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</si>
  <si>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</si>
  <si>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</si>
  <si>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</si>
  <si>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</si>
  <si>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</si>
  <si>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</si>
  <si>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</si>
  <si>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</si>
  <si>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</si>
  <si>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</si>
  <si>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</si>
  <si>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</si>
  <si>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</si>
  <si>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</si>
  <si>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</si>
  <si>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</si>
  <si>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</si>
  <si>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</si>
  <si>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</si>
  <si>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</si>
  <si>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</si>
  <si>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</si>
  <si>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</si>
  <si>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</si>
  <si>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</si>
  <si>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</si>
  <si>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</si>
  <si>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</si>
  <si>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</si>
  <si>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</si>
  <si>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</si>
  <si>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</si>
  <si>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</si>
  <si>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Micronesia(Federated States of)</t>
  </si>
  <si>
    <t>Midway Islands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</si>
  <si>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</si>
  <si>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</si>
  <si>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</si>
  <si>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</si>
  <si>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</si>
  <si>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</si>
  <si>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</si>
  <si>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</si>
  <si>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</si>
  <si>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</si>
  <si>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</si>
  <si>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</si>
  <si>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</si>
  <si>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</si>
  <si>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</si>
  <si>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</si>
  <si>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</si>
  <si>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</si>
  <si>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</si>
  <si>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</si>
  <si>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</si>
  <si>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</si>
  <si>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Neutral zone</t>
  </si>
  <si>
    <t>SAU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</si>
  <si>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</si>
  <si>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</si>
  <si>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</si>
  <si>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</si>
  <si>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</si>
  <si>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</si>
  <si>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</si>
  <si>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</si>
  <si>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</si>
  <si>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</si>
  <si>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</si>
  <si>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</si>
  <si>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</si>
  <si>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North Macedonia</t>
  </si>
  <si>
    <t>MKD</t>
  </si>
  <si>
    <t>Northern Africa, not elsewhere specified</t>
  </si>
  <si>
    <t>Northern and Central America nes</t>
  </si>
  <si>
    <t>Northern Mariana Islands</t>
  </si>
  <si>
    <t>MNP</t>
  </si>
  <si>
    <t>Norway</t>
  </si>
  <si>
    <t>NOR</t>
  </si>
  <si>
    <t>Norway, excluding Svalbard and Jan Mayen</t>
  </si>
  <si>
    <t>Oceania, not elsewhere specified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</si>
  <si>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</si>
  <si>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</si>
  <si>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</si>
  <si>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</si>
  <si>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</si>
  <si>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</si>
  <si>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</si>
  <si>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</si>
  <si>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</si>
  <si>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</si>
  <si>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</si>
  <si>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</si>
  <si>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Peninsula Malaysia</t>
  </si>
  <si>
    <t>Peru</t>
  </si>
  <si>
    <t>PER</t>
  </si>
  <si>
    <t>Philippines</t>
  </si>
  <si>
    <t>PHL</t>
  </si>
  <si>
    <t>Pitcairn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</si>
  <si>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</si>
  <si>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</si>
  <si>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</si>
  <si>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</si>
  <si>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</si>
  <si>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</si>
  <si>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</si>
  <si>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</si>
  <si>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</si>
  <si>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</si>
  <si>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</si>
  <si>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</si>
  <si>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Rest of America, not elsewhere specified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</si>
  <si>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</si>
  <si>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</si>
  <si>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</si>
  <si>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</si>
  <si>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</si>
  <si>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</si>
  <si>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</si>
  <si>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</si>
  <si>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Ryukyu Island</t>
  </si>
  <si>
    <t>Sabah</t>
  </si>
  <si>
    <t>Saint Helena</t>
  </si>
  <si>
    <t>SHN</t>
  </si>
  <si>
    <t>Saint Kitts and Nevis</t>
  </si>
  <si>
    <t>KNA</t>
  </si>
  <si>
    <t>Saint Kitts, Nevis and Anguilla</t>
  </si>
  <si>
    <t>Saint Lucia</t>
  </si>
  <si>
    <t>LCA</t>
  </si>
  <si>
    <t>Saint Martin (French part)</t>
  </si>
  <si>
    <t>Saint Pierre and Miquelon</t>
  </si>
  <si>
    <t>SPM</t>
  </si>
  <si>
    <t>Saint Vincent and the Grenadines</t>
  </si>
  <si>
    <t>VCT</t>
  </si>
  <si>
    <t>Saint-Barthélemy</t>
  </si>
  <si>
    <t>Samoa</t>
  </si>
  <si>
    <t>WSM</t>
  </si>
  <si>
    <t>San Marino</t>
  </si>
  <si>
    <t>SMR</t>
  </si>
  <si>
    <t>Sao Tome and Principe</t>
  </si>
  <si>
    <t>STP</t>
  </si>
  <si>
    <t>Sarawak</t>
  </si>
  <si>
    <t>Sark</t>
  </si>
  <si>
    <t>Saudi Arabia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</si>
  <si>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</si>
  <si>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</si>
  <si>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</si>
  <si>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</si>
  <si>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</si>
  <si>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</si>
  <si>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</si>
  <si>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</si>
  <si>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Sikkim</t>
  </si>
  <si>
    <t>Singapore</t>
  </si>
  <si>
    <t>SGP</t>
  </si>
  <si>
    <t>Sint Maarten (Dutch part)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</si>
  <si>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</si>
  <si>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</si>
  <si>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</si>
  <si>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</si>
  <si>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</si>
  <si>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</si>
  <si>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</si>
  <si>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</si>
  <si>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</si>
  <si>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</si>
  <si>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 not elsewhere specified</t>
  </si>
  <si>
    <t>South Georgia and the South Sandwich Islands</t>
  </si>
  <si>
    <t>South Sudan</t>
  </si>
  <si>
    <t>SSD</t>
  </si>
  <si>
    <t>Southern African Customs Union</t>
  </si>
  <si>
    <t>Spain</t>
  </si>
  <si>
    <t>ESP</t>
  </si>
  <si>
    <t>Special Categories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</si>
  <si>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</si>
  <si>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</si>
  <si>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</si>
  <si>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</si>
  <si>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</si>
  <si>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</si>
  <si>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</si>
  <si>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</si>
  <si>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</si>
  <si>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</si>
  <si>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</si>
  <si>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</si>
  <si>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</si>
  <si>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</si>
  <si>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</si>
  <si>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</si>
  <si>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</si>
  <si>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</si>
  <si>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</si>
  <si>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</si>
  <si>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</si>
  <si>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</si>
  <si>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</si>
  <si>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</si>
  <si>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</si>
  <si>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</si>
  <si>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</si>
  <si>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</si>
  <si>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</si>
  <si>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</si>
  <si>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</si>
  <si>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</si>
  <si>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</si>
  <si>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</si>
  <si>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</si>
  <si>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</si>
  <si>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</si>
  <si>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</si>
  <si>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</si>
  <si>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</si>
  <si>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</si>
  <si>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</si>
  <si>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</si>
  <si>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</si>
  <si>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</si>
  <si>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</si>
  <si>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</si>
  <si>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</si>
  <si>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</si>
  <si>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Minor Outlying Islands</t>
  </si>
  <si>
    <t>United States Miscellaneous Pacific Islands</t>
  </si>
  <si>
    <t>United States of America</t>
  </si>
  <si>
    <t>USA</t>
  </si>
  <si>
    <t>United States of America, including Puerto Rico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</si>
  <si>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</si>
  <si>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</si>
  <si>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</si>
  <si>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</si>
  <si>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</si>
  <si>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</si>
  <si>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</si>
  <si>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</si>
  <si>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</si>
  <si>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</si>
  <si>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</si>
  <si>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</si>
  <si>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Wake Island</t>
  </si>
  <si>
    <t>Wallis and Futuna Islands</t>
  </si>
  <si>
    <t>WLF</t>
  </si>
  <si>
    <t>Western Asia, not elsewhere specified</t>
  </si>
  <si>
    <t>Western Sahara</t>
  </si>
  <si>
    <t>ESH</t>
  </si>
  <si>
    <t>World</t>
  </si>
  <si>
    <t>Yemen</t>
  </si>
  <si>
    <t>YEM</t>
  </si>
  <si>
    <t>Zambia</t>
  </si>
  <si>
    <t>ZMB</t>
  </si>
  <si>
    <t>Zimbabwe</t>
  </si>
  <si>
    <t>ZWE</t>
  </si>
  <si>
    <t>_BUN</t>
  </si>
  <si>
    <t>HKG</t>
  </si>
  <si>
    <t>MAC</t>
  </si>
  <si>
    <t>FSM</t>
  </si>
  <si>
    <t>COMMODITY</t>
  </si>
  <si>
    <t>Hard Coal</t>
  </si>
  <si>
    <t>Anthracite</t>
  </si>
  <si>
    <t>Coking coal</t>
  </si>
  <si>
    <t>Other bituminous coal</t>
  </si>
  <si>
    <t>Brown Coal</t>
  </si>
  <si>
    <t>Sub-bituminous coal</t>
  </si>
  <si>
    <t>Lignite</t>
  </si>
  <si>
    <t>Coke Oven Coke</t>
  </si>
  <si>
    <t>Gas Coke</t>
  </si>
  <si>
    <t>Patent fuel</t>
  </si>
  <si>
    <t>Brown Coal Briquettes</t>
  </si>
  <si>
    <t>Coal Tar</t>
  </si>
  <si>
    <t>Coke Oven Gas</t>
  </si>
  <si>
    <t>Gasworks Gas</t>
  </si>
  <si>
    <t>Blast Furnace Gas</t>
  </si>
  <si>
    <t>Other recovered gases</t>
  </si>
  <si>
    <t>Other coal products</t>
  </si>
  <si>
    <t>Peat</t>
  </si>
  <si>
    <t>Peat Products</t>
  </si>
  <si>
    <t>Oil Shale / Oil Sands</t>
  </si>
  <si>
    <t>Natural Gas (including LNG)</t>
  </si>
  <si>
    <t>Conventional crude oil</t>
  </si>
  <si>
    <t>Natural Gas Liquids</t>
  </si>
  <si>
    <t>Refinery Feedstocks</t>
  </si>
  <si>
    <t>Additives and Oxygenates</t>
  </si>
  <si>
    <t>Other hydrocarbons</t>
  </si>
  <si>
    <t>Refinery Gas</t>
  </si>
  <si>
    <t>Ethane</t>
  </si>
  <si>
    <t>Liquified Petroleum Gas</t>
  </si>
  <si>
    <t>Naphtha</t>
  </si>
  <si>
    <t>Aviation Gasoline</t>
  </si>
  <si>
    <t>Motor Gasoline</t>
  </si>
  <si>
    <t>Gasoline-type jet fuel</t>
  </si>
  <si>
    <t>Kerosene-type Jet Fuel</t>
  </si>
  <si>
    <t>Other kerosene</t>
  </si>
  <si>
    <t>Gas Oil/ Diesel Oil</t>
  </si>
  <si>
    <t>Fuel Oil</t>
  </si>
  <si>
    <t>White spirit and special boiling point industrial spirits</t>
  </si>
  <si>
    <t>Lubricants</t>
  </si>
  <si>
    <t>Paraffin waxes</t>
  </si>
  <si>
    <t>Petroleum Coke</t>
  </si>
  <si>
    <t>Bitumen</t>
  </si>
  <si>
    <t>Other oil products n.e.c.</t>
  </si>
  <si>
    <t>Fuelwood</t>
  </si>
  <si>
    <t>Bagasse</t>
  </si>
  <si>
    <t>Animal waste</t>
  </si>
  <si>
    <t>Black liquor</t>
  </si>
  <si>
    <t>Other Vegetal Material and Residues</t>
  </si>
  <si>
    <t>Charcoal</t>
  </si>
  <si>
    <t>Biogasoline</t>
  </si>
  <si>
    <t>Of which: biogasoline</t>
  </si>
  <si>
    <t>Biodiesel</t>
  </si>
  <si>
    <t>Of which: biodiesel</t>
  </si>
  <si>
    <t>Bio jet kerosene</t>
  </si>
  <si>
    <t>Of which: bio jet kerosene</t>
  </si>
  <si>
    <t>Other liquid biofuels</t>
  </si>
  <si>
    <t>Biogases</t>
  </si>
  <si>
    <t>Industrial Waste</t>
  </si>
  <si>
    <t>Municipal Wastes</t>
  </si>
  <si>
    <t>Total Electricity</t>
  </si>
  <si>
    <t>7000G</t>
  </si>
  <si>
    <t>Geothermal</t>
  </si>
  <si>
    <t>7000H</t>
  </si>
  <si>
    <t>7000N</t>
  </si>
  <si>
    <t>Nuclear Electricity</t>
  </si>
  <si>
    <t>7000O</t>
  </si>
  <si>
    <t>Tide, wave and ocean electricity</t>
  </si>
  <si>
    <t>7000S</t>
  </si>
  <si>
    <t>Solar Electricity</t>
  </si>
  <si>
    <t>7000T</t>
  </si>
  <si>
    <t>Thermal Electricity</t>
  </si>
  <si>
    <t>7000W</t>
  </si>
  <si>
    <t>Wind Electricity</t>
  </si>
  <si>
    <t>Heat</t>
  </si>
  <si>
    <t>8000T</t>
  </si>
  <si>
    <t>Heat from combustible fuels</t>
  </si>
  <si>
    <t>Uranium</t>
  </si>
  <si>
    <t>B00_CL</t>
  </si>
  <si>
    <t>Primary coal and peat</t>
  </si>
  <si>
    <t>B01_CP</t>
  </si>
  <si>
    <t>Coal and peat products</t>
  </si>
  <si>
    <t>B02_PO</t>
  </si>
  <si>
    <t>Primary Oil</t>
  </si>
  <si>
    <t>B03_OP</t>
  </si>
  <si>
    <t>Oil Products</t>
  </si>
  <si>
    <t>B04_NG</t>
  </si>
  <si>
    <t>Natural Gas</t>
  </si>
  <si>
    <t>B05_BW</t>
  </si>
  <si>
    <t>Biofuels and waste</t>
  </si>
  <si>
    <t>B06_NU</t>
  </si>
  <si>
    <t>B07_EL</t>
  </si>
  <si>
    <t>Electricity</t>
  </si>
  <si>
    <t>B08_HT</t>
  </si>
  <si>
    <t>B09_TE</t>
  </si>
  <si>
    <t>Total energy</t>
  </si>
  <si>
    <t>B10_RE</t>
  </si>
  <si>
    <t>Memo: Renewables</t>
  </si>
  <si>
    <t>DG</t>
  </si>
  <si>
    <t>Direct use of geothermal heat</t>
  </si>
  <si>
    <t>DS</t>
  </si>
  <si>
    <t>Direct use of solar thermal heat</t>
  </si>
  <si>
    <t>EC</t>
  </si>
  <si>
    <t>Electricity, net installed capacity of electric power plants</t>
  </si>
  <si>
    <t>GR</t>
  </si>
  <si>
    <t>Total Refinery Output</t>
  </si>
  <si>
    <t>WF</t>
  </si>
  <si>
    <t>Falling Water</t>
  </si>
  <si>
    <t>oil</t>
  </si>
  <si>
    <t>solar thermal</t>
  </si>
  <si>
    <t>electricity</t>
  </si>
  <si>
    <t>refinery</t>
  </si>
  <si>
    <t>water</t>
  </si>
  <si>
    <t>oil prod</t>
  </si>
  <si>
    <t>TRANSACTION</t>
  </si>
  <si>
    <t>Production</t>
  </si>
  <si>
    <t>Production from off-shore</t>
  </si>
  <si>
    <t>Production from refineries</t>
  </si>
  <si>
    <t>Production from plants</t>
  </si>
  <si>
    <t>015C</t>
  </si>
  <si>
    <t>Production from combustible fuels – Main activity</t>
  </si>
  <si>
    <t>015CC</t>
  </si>
  <si>
    <t>Production from combustible fuels – Main activity – CHP plants</t>
  </si>
  <si>
    <t>015CE</t>
  </si>
  <si>
    <t>Production from combustible fuels – Main activity – Electricity plants</t>
  </si>
  <si>
    <t>015CH</t>
  </si>
  <si>
    <t>Production from combustible fuels – Main activity – Heat plants</t>
  </si>
  <si>
    <t>015EB</t>
  </si>
  <si>
    <t>Production from electric boilers - Main activity</t>
  </si>
  <si>
    <t>015G</t>
  </si>
  <si>
    <t>Production from Geothermal – Main activity</t>
  </si>
  <si>
    <t>015GC</t>
  </si>
  <si>
    <t>Production from Geothermal – Main activity - CHP plants</t>
  </si>
  <si>
    <t>015GE</t>
  </si>
  <si>
    <t>Production from Geothermal – Main activity - Electricity plants</t>
  </si>
  <si>
    <t>015GH</t>
  </si>
  <si>
    <t>Production from Geothermal – Main activity – Heat plants</t>
  </si>
  <si>
    <t>015H</t>
  </si>
  <si>
    <t>Production from chemical heat/sources – Main activity</t>
  </si>
  <si>
    <t>015HC</t>
  </si>
  <si>
    <t>Production from chemical heat/sources – Main activity – CHP plants</t>
  </si>
  <si>
    <t>015HE</t>
  </si>
  <si>
    <t>Production from chemical heat/sources – Main activity – Electricity plants</t>
  </si>
  <si>
    <t>015HP</t>
  </si>
  <si>
    <t>Production from heat pumps - Main activity</t>
  </si>
  <si>
    <t>015HY</t>
  </si>
  <si>
    <t>Production from Hydro – Main activity</t>
  </si>
  <si>
    <t>015N</t>
  </si>
  <si>
    <t>Production from Nuclear – Main activity</t>
  </si>
  <si>
    <t>015NC</t>
  </si>
  <si>
    <t>Production from Nuclear – Main activity - CHP plants</t>
  </si>
  <si>
    <t>015NE</t>
  </si>
  <si>
    <t>Production from Nuclear – Main activity - Electricity plants</t>
  </si>
  <si>
    <t>015NH</t>
  </si>
  <si>
    <t>Production from Nuclear – Main activity - Heat plants</t>
  </si>
  <si>
    <t>015O</t>
  </si>
  <si>
    <t>Production from other sources – Main activity</t>
  </si>
  <si>
    <t>015OC</t>
  </si>
  <si>
    <t>Production from other sources – Main activity – CHP plants</t>
  </si>
  <si>
    <t>015OE</t>
  </si>
  <si>
    <t>Production from other sources – Main activity – Electricity plants</t>
  </si>
  <si>
    <t>015OH</t>
  </si>
  <si>
    <t>Production from other sources – Main activity – Heat plants</t>
  </si>
  <si>
    <t>015PH</t>
  </si>
  <si>
    <t>Of which production from pumped hydro – Main activity</t>
  </si>
  <si>
    <t>015S</t>
  </si>
  <si>
    <t>Production from Solar – Main activity</t>
  </si>
  <si>
    <t>015SP</t>
  </si>
  <si>
    <t>Production from Solar PV – Main activity</t>
  </si>
  <si>
    <t>015ST</t>
  </si>
  <si>
    <t>Production from Solar thermal – Main activity</t>
  </si>
  <si>
    <t>015T</t>
  </si>
  <si>
    <t>Production from Tide, wave and marine – Main activity</t>
  </si>
  <si>
    <t>015W</t>
  </si>
  <si>
    <t>Production from Wind – Main activity</t>
  </si>
  <si>
    <t>016C</t>
  </si>
  <si>
    <t>Production from combustible fuels – Autoproducer</t>
  </si>
  <si>
    <t>016CC</t>
  </si>
  <si>
    <t>Production from combustible fuels – Autoproducer – CHP plants</t>
  </si>
  <si>
    <t>016CE</t>
  </si>
  <si>
    <t>Production from combustible fuels – Autoproducer – Electricity plants</t>
  </si>
  <si>
    <t>016CH</t>
  </si>
  <si>
    <t>Production from combustible fuels – Autoproducer – Heat plants</t>
  </si>
  <si>
    <t>016G</t>
  </si>
  <si>
    <t>Production from Geothermal – Autoproducer</t>
  </si>
  <si>
    <t>016GC</t>
  </si>
  <si>
    <t>Production from Geothermal – Autoproducer – CHP plants</t>
  </si>
  <si>
    <t>016GE</t>
  </si>
  <si>
    <t>Production from Geothermal – Autoproducer – Electricity plants</t>
  </si>
  <si>
    <t>016GH</t>
  </si>
  <si>
    <t>Production from Geothermal – Autoproducer – Heat plants</t>
  </si>
  <si>
    <t>016H</t>
  </si>
  <si>
    <t>Production from chemical heat/sources – Autoproducer</t>
  </si>
  <si>
    <t>016HC</t>
  </si>
  <si>
    <t>Production from chemical heat/sources – Autoproducer – CHP plants</t>
  </si>
  <si>
    <t>016HE</t>
  </si>
  <si>
    <t>Production from chemical heat/sources – Autoproducer – Electricity plants</t>
  </si>
  <si>
    <t>016HH</t>
  </si>
  <si>
    <t>Production from chemical heat/sources – Autoproducer – Heat plants</t>
  </si>
  <si>
    <t>016HY</t>
  </si>
  <si>
    <t>Production from Hydro – Autoproducer</t>
  </si>
  <si>
    <t>016N</t>
  </si>
  <si>
    <t>Production from Nuclear – Autoproducer</t>
  </si>
  <si>
    <t>016NC</t>
  </si>
  <si>
    <t>Production from Nuclear – Autoproducer – CHP plants</t>
  </si>
  <si>
    <t>016NE</t>
  </si>
  <si>
    <t>Production from Nuclear – Autoproducer – Electricity plants</t>
  </si>
  <si>
    <t>016O</t>
  </si>
  <si>
    <t>Production from other sources – Autoproducer</t>
  </si>
  <si>
    <t>016OC</t>
  </si>
  <si>
    <t>Production from other sources – Autoproducer – CHP plants</t>
  </si>
  <si>
    <t>016OE</t>
  </si>
  <si>
    <t>Production from other sources – Autoproducer – Electricity plants</t>
  </si>
  <si>
    <t>016OH</t>
  </si>
  <si>
    <t>Production from other sources – Autoproducer – Heat plants</t>
  </si>
  <si>
    <t>016PH</t>
  </si>
  <si>
    <t>Of which production from pumped hydro – Autoproducer</t>
  </si>
  <si>
    <t>016S</t>
  </si>
  <si>
    <t>Production from Solar – Autoproducer</t>
  </si>
  <si>
    <t>016SP</t>
  </si>
  <si>
    <t>Production from Solar PV – Autoproducer</t>
  </si>
  <si>
    <t>016ST</t>
  </si>
  <si>
    <t>Production from Solar thermal – Autoproducer</t>
  </si>
  <si>
    <t>016T</t>
  </si>
  <si>
    <t>Production from Tide, wave and marine – Autoproducer</t>
  </si>
  <si>
    <t>016W</t>
  </si>
  <si>
    <t>Production from Wind – Autoproducer</t>
  </si>
  <si>
    <t>Gross production</t>
  </si>
  <si>
    <t>Net Production</t>
  </si>
  <si>
    <t>01BI</t>
  </si>
  <si>
    <t>Production from biogases</t>
  </si>
  <si>
    <t>01BS</t>
  </si>
  <si>
    <t>Production from bagasse</t>
  </si>
  <si>
    <t>01CL</t>
  </si>
  <si>
    <t>Production from hard coal</t>
  </si>
  <si>
    <t>01CP</t>
  </si>
  <si>
    <t>Production from solid coal products</t>
  </si>
  <si>
    <t>01CR</t>
  </si>
  <si>
    <t>Production from crude oil</t>
  </si>
  <si>
    <t>01DL</t>
  </si>
  <si>
    <t>Production from gas oil/diesel oil</t>
  </si>
  <si>
    <t>01LB</t>
  </si>
  <si>
    <t>Production from brown coal</t>
  </si>
  <si>
    <t>01LBF</t>
  </si>
  <si>
    <t>Production from liquid biofuels</t>
  </si>
  <si>
    <t>01MG</t>
  </si>
  <si>
    <t>Production from manufactured gases</t>
  </si>
  <si>
    <t>01NG</t>
  </si>
  <si>
    <t>Production from natural gas</t>
  </si>
  <si>
    <t>01NRW</t>
  </si>
  <si>
    <t>Production from non-renewable waste</t>
  </si>
  <si>
    <t>01OS</t>
  </si>
  <si>
    <t>Production from oil shale</t>
  </si>
  <si>
    <t>01PP</t>
  </si>
  <si>
    <t>Production from other oil products</t>
  </si>
  <si>
    <t>01PT</t>
  </si>
  <si>
    <t>Production from peat</t>
  </si>
  <si>
    <t>01RF</t>
  </si>
  <si>
    <t>Production from fuel oil</t>
  </si>
  <si>
    <t>01RW</t>
  </si>
  <si>
    <t>Production from renewable municipal waste</t>
  </si>
  <si>
    <t>01SBF</t>
  </si>
  <si>
    <t>Production from solid biofuels</t>
  </si>
  <si>
    <t>Receipts from other sources</t>
  </si>
  <si>
    <t>022H</t>
  </si>
  <si>
    <t>Of which: Hydrogen</t>
  </si>
  <si>
    <t>Imports</t>
  </si>
  <si>
    <t>Exports</t>
  </si>
  <si>
    <t>International marine bunkers</t>
  </si>
  <si>
    <t>International aviation bunkers</t>
  </si>
  <si>
    <t>Stock changes</t>
  </si>
  <si>
    <t>Transfers and recycled products</t>
  </si>
  <si>
    <t>Transformation</t>
  </si>
  <si>
    <t>Transformation in coke ovens</t>
  </si>
  <si>
    <t>Transformation in gas works</t>
  </si>
  <si>
    <t>Transformation in briquetting plants</t>
  </si>
  <si>
    <t>Transformation in blast furnaces</t>
  </si>
  <si>
    <t>085CH</t>
  </si>
  <si>
    <t>Transformation in charcoal plants</t>
  </si>
  <si>
    <t>085EP</t>
  </si>
  <si>
    <t>Used for electricity production</t>
  </si>
  <si>
    <t>085GL</t>
  </si>
  <si>
    <t>Transformation in gas-to-liquid (GTL) plants</t>
  </si>
  <si>
    <t>085LP</t>
  </si>
  <si>
    <t>Transformation in coal liquefaction plants</t>
  </si>
  <si>
    <t>085PP</t>
  </si>
  <si>
    <t>Transformation in petrochemical plants</t>
  </si>
  <si>
    <t>Transformation in oil refineries</t>
  </si>
  <si>
    <t>Transformation in natural gas blending plants</t>
  </si>
  <si>
    <t>Transformation in electricity, CHP and heat plants</t>
  </si>
  <si>
    <t>Transformation in electricity plants - main activity producers</t>
  </si>
  <si>
    <t>Transformation in electricity plants - autoproducers</t>
  </si>
  <si>
    <t>Transformation in CHP plants - main activity producers</t>
  </si>
  <si>
    <t>Transformation in CHP plants - autoproducers</t>
  </si>
  <si>
    <t>Transformation in heat plants - main activity producers</t>
  </si>
  <si>
    <t>Transformation in heat plants - autoproducers</t>
  </si>
  <si>
    <t>0889E</t>
  </si>
  <si>
    <t>Used for electric boilers</t>
  </si>
  <si>
    <t>0889H</t>
  </si>
  <si>
    <t>Used for heat pumps</t>
  </si>
  <si>
    <t>Other transformation</t>
  </si>
  <si>
    <t>Energy industries own use</t>
  </si>
  <si>
    <t>Own use by coal mines</t>
  </si>
  <si>
    <t>Own use by oil and gas extraction</t>
  </si>
  <si>
    <t>Own use by biogas production plants</t>
  </si>
  <si>
    <t>Own use by nuclear fuel extraction and processing</t>
  </si>
  <si>
    <t>Own use by coke ovens</t>
  </si>
  <si>
    <t>Own use by gas works</t>
  </si>
  <si>
    <t>Own use by briquetting plants</t>
  </si>
  <si>
    <t>Own use by blast furnaces</t>
  </si>
  <si>
    <t>Own use by oil refineries</t>
  </si>
  <si>
    <t>Own use by pump-storage plants</t>
  </si>
  <si>
    <t>Own use by electricity, CHP and heat plants</t>
  </si>
  <si>
    <t>Other energy industry own use</t>
  </si>
  <si>
    <t>Own use by coal liquefaction plants</t>
  </si>
  <si>
    <t>Own use by natural gas separation plants</t>
  </si>
  <si>
    <t>Own use by gas-to-liquid (GTL) plants</t>
  </si>
  <si>
    <t>Own use by charcoal plants</t>
  </si>
  <si>
    <t>Own use by LNG/regasification plants</t>
  </si>
  <si>
    <t>Losses</t>
  </si>
  <si>
    <t>Re-injected</t>
  </si>
  <si>
    <t>Flared and vented</t>
  </si>
  <si>
    <t>104A</t>
  </si>
  <si>
    <t>Flared</t>
  </si>
  <si>
    <t>104B</t>
  </si>
  <si>
    <t>Vented</t>
  </si>
  <si>
    <t>Extraction loss shrinkage</t>
  </si>
  <si>
    <t>Non-energy uses</t>
  </si>
  <si>
    <t>Final energy consumption</t>
  </si>
  <si>
    <t>Consumption by manufacturing, construction and non-fuel industry</t>
  </si>
  <si>
    <t>Consumption by iron and steel</t>
  </si>
  <si>
    <t>Consumption by chemical and petrochemical</t>
  </si>
  <si>
    <t>Consumption by other manuf., const. and non-fuel ind.</t>
  </si>
  <si>
    <t>1214A</t>
  </si>
  <si>
    <t>Consumption by non-ferrous metals</t>
  </si>
  <si>
    <t>1214B</t>
  </si>
  <si>
    <t>Consumption by non-metallic minerals</t>
  </si>
  <si>
    <t>1214C</t>
  </si>
  <si>
    <t>Consumption by transport equipment</t>
  </si>
  <si>
    <t>1214D</t>
  </si>
  <si>
    <t>Consumption by machinery</t>
  </si>
  <si>
    <t>1214E</t>
  </si>
  <si>
    <t>Consumption by mining and quarrying</t>
  </si>
  <si>
    <t>1214F</t>
  </si>
  <si>
    <t>Consumption by food and tobacco</t>
  </si>
  <si>
    <t>1214G</t>
  </si>
  <si>
    <t>Consumption by paper, pulp and print</t>
  </si>
  <si>
    <t>1214H</t>
  </si>
  <si>
    <t>Consumption by wood and wood products</t>
  </si>
  <si>
    <t>1214I</t>
  </si>
  <si>
    <t>Consumption by construction</t>
  </si>
  <si>
    <t>1214J</t>
  </si>
  <si>
    <t>Consumption by textile and leather</t>
  </si>
  <si>
    <t>1214O</t>
  </si>
  <si>
    <t>Consumption not elsewhere specified (industry)</t>
  </si>
  <si>
    <t>Consumption by transport</t>
  </si>
  <si>
    <t>Consumption by road</t>
  </si>
  <si>
    <t>Consumption by rail</t>
  </si>
  <si>
    <t>Consumption by domestic aviation</t>
  </si>
  <si>
    <t>Consumption by domestic navigation</t>
  </si>
  <si>
    <t>Consumption not elsewhere specified (transport)</t>
  </si>
  <si>
    <t>Consumption by pipeline transport</t>
  </si>
  <si>
    <t>Consumption by other</t>
  </si>
  <si>
    <t>Consumption by households</t>
  </si>
  <si>
    <t>Consumption by agriculture, forestry and fishing</t>
  </si>
  <si>
    <t>1232F</t>
  </si>
  <si>
    <t>of which: Consumption by fishing</t>
  </si>
  <si>
    <t>Consumption not elsewhere specified (other)</t>
  </si>
  <si>
    <t>Consumption by commerce and public services</t>
  </si>
  <si>
    <t>Refinery capacity</t>
  </si>
  <si>
    <t>Total Capacity: Main activity producers and Autoproducers</t>
  </si>
  <si>
    <t>Nuclear, total</t>
  </si>
  <si>
    <t>Nuclear, Main activity producers</t>
  </si>
  <si>
    <t>Nuclear, Autoproducers</t>
  </si>
  <si>
    <t>Hydro, total</t>
  </si>
  <si>
    <t>Hydro, Main activity producers</t>
  </si>
  <si>
    <t>Hydro, Autoproducers</t>
  </si>
  <si>
    <t>Geothermal, total</t>
  </si>
  <si>
    <t>Geothermal, Main activity producers</t>
  </si>
  <si>
    <t>Geothermal, Autoproducers</t>
  </si>
  <si>
    <t>Combustible Fuels, total</t>
  </si>
  <si>
    <t>Combustible Fuels, Main activity producers</t>
  </si>
  <si>
    <t>Combustible Fuels, Autoproducers</t>
  </si>
  <si>
    <t>1334R</t>
  </si>
  <si>
    <t>Combustible renewables, total</t>
  </si>
  <si>
    <t>Wind, total</t>
  </si>
  <si>
    <t>Wind, Main activity producers</t>
  </si>
  <si>
    <t>Wind, Autoproducers</t>
  </si>
  <si>
    <t>Solar, total</t>
  </si>
  <si>
    <t>Solar, Main activity producers</t>
  </si>
  <si>
    <t>Solar, Autoproducers</t>
  </si>
  <si>
    <t>Tide, wave, marine, total</t>
  </si>
  <si>
    <t>Tide, wave, marine, Main activity producers</t>
  </si>
  <si>
    <t>Tide, wave, marine, Autoproducers</t>
  </si>
  <si>
    <t>Electricity generating capacity - From other sources</t>
  </si>
  <si>
    <t>Electricity generating capacity - From other sources - Main activity producers</t>
  </si>
  <si>
    <t>Electricity generating capacity - From other sources - Autoproducers</t>
  </si>
  <si>
    <t>13PH1</t>
  </si>
  <si>
    <t>Electricity generating capacity - Pumped hydro - Main activity producers</t>
  </si>
  <si>
    <t>13PH2</t>
  </si>
  <si>
    <t>Electricity generating capacity - Pumped hydro - Autoproducers</t>
  </si>
  <si>
    <t>13PV1</t>
  </si>
  <si>
    <t>Electricity generating capacity - Solar PV - Main activity producers</t>
  </si>
  <si>
    <t>13PV2</t>
  </si>
  <si>
    <t>Electricity generating capacity - Solar PV - Autoproducers</t>
  </si>
  <si>
    <t>13ST1</t>
  </si>
  <si>
    <t>Electricity generating capacity - Solar Thermal - Main activity producers</t>
  </si>
  <si>
    <t>13ST2</t>
  </si>
  <si>
    <t>Electricity generating capacity - Solar Thermal - Autoproducers</t>
  </si>
  <si>
    <t>Total resources in place</t>
  </si>
  <si>
    <t>Total known resources</t>
  </si>
  <si>
    <t>Total known resources, Recoverable</t>
  </si>
  <si>
    <t>Additional resources</t>
  </si>
  <si>
    <t>Reserves from crude petroleum</t>
  </si>
  <si>
    <t>Reserves from oil shale and tar sands</t>
  </si>
  <si>
    <t>Reserves from oil shale</t>
  </si>
  <si>
    <t>Reserves from tar sands</t>
  </si>
  <si>
    <t>Other reserves</t>
  </si>
  <si>
    <t>Total resources of gases</t>
  </si>
  <si>
    <t>Reserves of nuclear resources, Reasonably assured</t>
  </si>
  <si>
    <t>Reserves of nuclear resources, Estimated additional</t>
  </si>
  <si>
    <t>Total hydraulic resources</t>
  </si>
  <si>
    <t>Opening stock level held on national territory</t>
  </si>
  <si>
    <t>Closing stock level held on national territory</t>
  </si>
  <si>
    <t>B01_01</t>
  </si>
  <si>
    <t>Primary production</t>
  </si>
  <si>
    <t>B02_03</t>
  </si>
  <si>
    <t>B03_04</t>
  </si>
  <si>
    <t>B04_051</t>
  </si>
  <si>
    <t>B05_052</t>
  </si>
  <si>
    <t>B06_06</t>
  </si>
  <si>
    <t>B07_GA</t>
  </si>
  <si>
    <t>Total energy supply</t>
  </si>
  <si>
    <t>B08_SD</t>
  </si>
  <si>
    <t>Statistical differences</t>
  </si>
  <si>
    <t>B09_07</t>
  </si>
  <si>
    <t>B10_08</t>
  </si>
  <si>
    <t>B11_088</t>
  </si>
  <si>
    <t>Electricity, Heat and CHP plants</t>
  </si>
  <si>
    <t>B11_08811</t>
  </si>
  <si>
    <t>Transformation in electricity plants</t>
  </si>
  <si>
    <t>B12_08821</t>
  </si>
  <si>
    <t>Transformation in CHP plants</t>
  </si>
  <si>
    <t>B13_08831</t>
  </si>
  <si>
    <t>Transformation in heat plants</t>
  </si>
  <si>
    <t>B14_081</t>
  </si>
  <si>
    <t>B17_082</t>
  </si>
  <si>
    <t>B18_084</t>
  </si>
  <si>
    <t>B19_087</t>
  </si>
  <si>
    <t>B21_089</t>
  </si>
  <si>
    <t>B22_09</t>
  </si>
  <si>
    <t>B23_101</t>
  </si>
  <si>
    <t>B24_NA</t>
  </si>
  <si>
    <t>Final consumption</t>
  </si>
  <si>
    <t>B25_FEC</t>
  </si>
  <si>
    <t>Final Energy Consumption</t>
  </si>
  <si>
    <t>B26_121</t>
  </si>
  <si>
    <t>Manufacturing, construction and non-fuel mining industries</t>
  </si>
  <si>
    <t>B27_1211</t>
  </si>
  <si>
    <t>Iron and steel</t>
  </si>
  <si>
    <t>B28_1213</t>
  </si>
  <si>
    <t>Chemical and petrochemical</t>
  </si>
  <si>
    <t>B29_1214a</t>
  </si>
  <si>
    <t>Non-ferrous metals</t>
  </si>
  <si>
    <t>B30_1214b</t>
  </si>
  <si>
    <t>Non-metallic minerals</t>
  </si>
  <si>
    <t>B31_1214c</t>
  </si>
  <si>
    <t>Transport equipment</t>
  </si>
  <si>
    <t>B32_1214d</t>
  </si>
  <si>
    <t>Machinery</t>
  </si>
  <si>
    <t>B33_1214e</t>
  </si>
  <si>
    <t>Mining and quarrying</t>
  </si>
  <si>
    <t>B34_1214f</t>
  </si>
  <si>
    <t>Food and tobacco</t>
  </si>
  <si>
    <t>B35_1214g</t>
  </si>
  <si>
    <t>Paper, pulp and printing</t>
  </si>
  <si>
    <t>B36_1214h</t>
  </si>
  <si>
    <t>Wood and wood products</t>
  </si>
  <si>
    <t>B37_1214j</t>
  </si>
  <si>
    <t>Textile and leather</t>
  </si>
  <si>
    <t>B38_1214i</t>
  </si>
  <si>
    <t>Construction</t>
  </si>
  <si>
    <t>B39_1214o</t>
  </si>
  <si>
    <t>Industry consumption not elsewhere specified</t>
  </si>
  <si>
    <t>B40_122</t>
  </si>
  <si>
    <t>Transport</t>
  </si>
  <si>
    <t>B41_1221</t>
  </si>
  <si>
    <t>Road</t>
  </si>
  <si>
    <t>B42_1222</t>
  </si>
  <si>
    <t>Rail</t>
  </si>
  <si>
    <t>B43_1223</t>
  </si>
  <si>
    <t>Domestic aviation</t>
  </si>
  <si>
    <t>B44_1224</t>
  </si>
  <si>
    <t>Domestic navigation</t>
  </si>
  <si>
    <t>B46_1225</t>
  </si>
  <si>
    <t>Transport not elsewhere specified</t>
  </si>
  <si>
    <t>B47_123</t>
  </si>
  <si>
    <t>Other Consumption</t>
  </si>
  <si>
    <t>B48_1232</t>
  </si>
  <si>
    <t>Agriculture, forestry and fishing</t>
  </si>
  <si>
    <t>B49_1235</t>
  </si>
  <si>
    <t>Commerce and public services</t>
  </si>
  <si>
    <t>B50_1231</t>
  </si>
  <si>
    <t>Households</t>
  </si>
  <si>
    <t>B51_1234</t>
  </si>
  <si>
    <t>Other consumption not elsewhere specified</t>
  </si>
  <si>
    <t>CP</t>
  </si>
  <si>
    <t>Total capacity, Main activity producers</t>
  </si>
  <si>
    <t>CS</t>
  </si>
  <si>
    <t>Total capacity, Autoproducers</t>
  </si>
  <si>
    <t>EP</t>
  </si>
  <si>
    <t>Production, Main activity producers total</t>
  </si>
  <si>
    <t>GA</t>
  </si>
  <si>
    <t>NA</t>
  </si>
  <si>
    <t>O</t>
  </si>
  <si>
    <t>Gross refinery output</t>
  </si>
  <si>
    <t>SP</t>
  </si>
  <si>
    <t>Production, Autoproducers total</t>
  </si>
  <si>
    <t>coke</t>
  </si>
  <si>
    <t>peat</t>
  </si>
  <si>
    <t>gas</t>
  </si>
  <si>
    <t>biofuels</t>
  </si>
  <si>
    <t>biogas</t>
  </si>
  <si>
    <t>waste</t>
  </si>
  <si>
    <t>marine</t>
  </si>
  <si>
    <t>thermal</t>
  </si>
  <si>
    <t>heat</t>
  </si>
  <si>
    <t>uranium</t>
  </si>
  <si>
    <t>total</t>
  </si>
  <si>
    <t/>
  </si>
  <si>
    <t>EJ</t>
  </si>
  <si>
    <t>wood</t>
  </si>
  <si>
    <t>Energy</t>
  </si>
  <si>
    <t>Aviation</t>
  </si>
  <si>
    <t>Other</t>
  </si>
  <si>
    <t>Ships</t>
  </si>
  <si>
    <t>Services</t>
  </si>
  <si>
    <t>Residential</t>
  </si>
  <si>
    <t>Ships Int</t>
  </si>
  <si>
    <t>Aviation Int</t>
  </si>
  <si>
    <t>Pipelines</t>
  </si>
  <si>
    <t>Industry</t>
  </si>
  <si>
    <t>fuel_agg</t>
  </si>
  <si>
    <t>fuel</t>
  </si>
  <si>
    <t>sector</t>
  </si>
  <si>
    <t>attribute</t>
  </si>
  <si>
    <t>sub_sector</t>
  </si>
  <si>
    <t>Pro</t>
  </si>
  <si>
    <t xml:space="preserve">Of </t>
  </si>
  <si>
    <t>Gro</t>
  </si>
  <si>
    <t>Net</t>
  </si>
  <si>
    <t>Rec</t>
  </si>
  <si>
    <t>Imp</t>
  </si>
  <si>
    <t>Exp</t>
  </si>
  <si>
    <t>Int</t>
  </si>
  <si>
    <t>Sto</t>
  </si>
  <si>
    <t>Tra</t>
  </si>
  <si>
    <t>Use</t>
  </si>
  <si>
    <t>Oth</t>
  </si>
  <si>
    <t>Ene</t>
  </si>
  <si>
    <t>Own</t>
  </si>
  <si>
    <t>Los</t>
  </si>
  <si>
    <t>Re-</t>
  </si>
  <si>
    <t>Fla</t>
  </si>
  <si>
    <t>Ven</t>
  </si>
  <si>
    <t>Ext</t>
  </si>
  <si>
    <t>Non</t>
  </si>
  <si>
    <t>Fin</t>
  </si>
  <si>
    <t>Con</t>
  </si>
  <si>
    <t>Ref</t>
  </si>
  <si>
    <t>Tot</t>
  </si>
  <si>
    <t>Nuc</t>
  </si>
  <si>
    <t>Hyd</t>
  </si>
  <si>
    <t>Geo</t>
  </si>
  <si>
    <t>Com</t>
  </si>
  <si>
    <t>Win</t>
  </si>
  <si>
    <t>Sol</t>
  </si>
  <si>
    <t>Tid</t>
  </si>
  <si>
    <t>Ele</t>
  </si>
  <si>
    <t>Add</t>
  </si>
  <si>
    <t>Res</t>
  </si>
  <si>
    <t>Ope</t>
  </si>
  <si>
    <t>Clo</t>
  </si>
  <si>
    <t>Consumption</t>
  </si>
  <si>
    <t>Export</t>
  </si>
  <si>
    <t>Import</t>
  </si>
  <si>
    <t>consumption</t>
  </si>
  <si>
    <t>production</t>
  </si>
  <si>
    <t>transformation</t>
  </si>
  <si>
    <t>reserves</t>
  </si>
  <si>
    <t>losses</t>
  </si>
  <si>
    <t>Power</t>
  </si>
  <si>
    <t>sub_total</t>
  </si>
  <si>
    <t>Carbon Sequestration|CCS</t>
  </si>
  <si>
    <t>Carbon Sequestration|CCS|Biomass</t>
  </si>
  <si>
    <t>Carbon Sequestration|CCS|Fossil</t>
  </si>
  <si>
    <t>Carbon Sequestration|CCS|Industrial Processes</t>
  </si>
  <si>
    <t>Country Temperature|Downscaling|5.0th Percentile</t>
  </si>
  <si>
    <t>Country Temperature|Downscaling|50.0th Percentile</t>
  </si>
  <si>
    <t>Country Temperature|Downscaling|95.0th Percentile</t>
  </si>
  <si>
    <t>Emissions|CO2</t>
  </si>
  <si>
    <t>Emissions|CO2|Energy</t>
  </si>
  <si>
    <t>Emissions|CO2|Industrial Processes</t>
  </si>
  <si>
    <t>Emissions|CO2|LULUCF Direct+Indirect</t>
  </si>
  <si>
    <t>Emissions|CO2|LULUCF Indirect</t>
  </si>
  <si>
    <t>Emissions|Kyoto Gases (incl. indirect LULUCF)</t>
  </si>
  <si>
    <t>Emissions|Total Non-CO2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</si>
  <si>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</si>
  <si>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</si>
  <si>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</si>
  <si>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</si>
  <si>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</si>
  <si>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</si>
  <si>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Energy|Industry|Electricity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</si>
  <si>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</si>
  <si>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</si>
  <si>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</si>
  <si>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</si>
  <si>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</si>
  <si>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</si>
  <si>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Energy|Industry|Liquids|Oil</t>
  </si>
  <si>
    <t>Final Energy|Industry|Solids</t>
  </si>
  <si>
    <t>Final Energy|Industry|Solids|Biomass</t>
  </si>
  <si>
    <t>Final Energy|Industry|Solids|Coal</t>
  </si>
  <si>
    <t>Final Energy|Liquids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</si>
  <si>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</si>
  <si>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</si>
  <si>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</si>
  <si>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</si>
  <si>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</si>
  <si>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</si>
  <si>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</si>
  <si>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Commercial|Liquids|Oil</t>
  </si>
  <si>
    <t>Final Energy|Residential and Commercial|Solids</t>
  </si>
  <si>
    <t>Final Energy|Residential and Commercial|Solids|Biomass</t>
  </si>
  <si>
    <t>Final Energy|Residential and Commercial|Solids|Coal</t>
  </si>
  <si>
    <t>Final Energy|Solids</t>
  </si>
  <si>
    <t>Final Energy|Transportation</t>
  </si>
  <si>
    <t>Final Energy|Transportation|Electricity</t>
  </si>
  <si>
    <t>Final Energy|Transportation|Gases</t>
  </si>
  <si>
    <t>Final Energy|Transportation|Hydrogen</t>
  </si>
  <si>
    <t>Final Energy|Transportation|Liquids</t>
  </si>
  <si>
    <t>Final Energy|Transportation|Liquids|Coal</t>
  </si>
  <si>
    <t>Final Energy|Transportation|Liquids|Oil</t>
  </si>
  <si>
    <t>GDP|PPP|Counterfactual without damage</t>
  </si>
  <si>
    <t>GDP|PPP|including high chronic physical risk damage estimate</t>
  </si>
  <si>
    <t>GDP|PPP|including medium chronic physical risk damage estimate</t>
  </si>
  <si>
    <t>Net GDP|PPP|high damage|KW panel population-weighted GMT AR6 climate diagnostics Surface Temperature (GSAT) MAGICCv7.5.3|5.0th Percentile</t>
  </si>
  <si>
    <t>Net GDP|PPP|high damage|KW panel population-weighted GMT AR6 climate diagnostics Surface Temperature (GSAT) MAGICCv7.5.3|50.0th Percentile</t>
  </si>
  <si>
    <t>Net GDP|PPP|high damage|KW panel population-weighted GMT AR6 climate diagnostics Surface Temperature (GSAT) MAGICCv7.5.3|95.0th Percentile</t>
  </si>
  <si>
    <t>Net GDP|PPP|median damage|KW panel population-weighted GMT AR6 climate diagnostics Surface Temperature (GSAT) MAGICCv7.5.3|5.0th Percentile</t>
  </si>
  <si>
    <t>Net GDP|PPP|median damage|KW panel population-weighted GMT AR6 climate diagnostics Surface Temperature (GSAT) MAGICCv7.5.3|50.0th Percentile</t>
  </si>
  <si>
    <t>Net GDP|PPP|median damage|KW panel population-weighted GMT AR6 climate diagnostics Surface Temperature (GSAT) MAGICCv7.5.3|95.0th Percentile</t>
  </si>
  <si>
    <t>Population</t>
  </si>
  <si>
    <t>Post-processed|high GDP change|KW panel population-weighted GMT AR6 climate diagnostics Surface Temperature (GSAT) MAGICCv7.5.3|5.0th Percentile</t>
  </si>
  <si>
    <t>Post-processed|high GDP change|KW panel population-weighted GMT AR6 climate diagnostics Surface Temperature (GSAT) MAGICCv7.5.3|50.0th Percentile</t>
  </si>
  <si>
    <t>Post-processed|high GDP change|KW panel population-weighted GMT AR6 climate diagnostics Surface Temperature (GSAT) MAGICCv7.5.3|95.0th Percentile</t>
  </si>
  <si>
    <t>Post-processed|median GDP change|KW panel population-weighted GMT AR6 climate diagnostics Surface Temperature (GSAT) MAGICCv7.5.3|5.0th Percentile</t>
  </si>
  <si>
    <t>Post-processed|median GDP change|KW panel population-weighted GMT AR6 climate diagnostics Surface Temperature (GSAT) MAGICCv7.5.3|50.0th Percentile</t>
  </si>
  <si>
    <t>Post-processed|median GDP change|KW panel population-weighted GMT AR6 climate diagnostics Surface Temperature (GSAT) MAGICCv7.5.3|95.0th Percentile</t>
  </si>
  <si>
    <t>Price|Agriculture|Non-Energy Crops and Livestock|Index</t>
  </si>
  <si>
    <t>Price|Agriculture|Non-Energy Crops|Index</t>
  </si>
  <si>
    <t>Price|Carbon</t>
  </si>
  <si>
    <t>Price|Primary Energy|Biomass</t>
  </si>
  <si>
    <t>Price|Primary Energy|Coal</t>
  </si>
  <si>
    <t>Price|Primary Energy|Gas</t>
  </si>
  <si>
    <t>Price|Primary Energy|Oil</t>
  </si>
  <si>
    <t>Price|Secondary Energy|Electricity</t>
  </si>
  <si>
    <t>Price|Secondary Energy|Hydrogen</t>
  </si>
  <si>
    <t>Price|Secondary Energy|Liquids</t>
  </si>
  <si>
    <t>Price|Secondary Energy|Liquids|Biomass</t>
  </si>
  <si>
    <t>Price|Secondary Energy|Liquids|Oil</t>
  </si>
  <si>
    <t>Primary Energy</t>
  </si>
  <si>
    <t>Primary Energy|Biomass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</si>
  <si>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</si>
  <si>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</si>
  <si>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</si>
  <si>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</si>
  <si>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</si>
  <si>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</si>
  <si>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</si>
  <si>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</si>
  <si>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</si>
  <si>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Energy|Geothermal</t>
  </si>
  <si>
    <t>Primary Energy|Hydro</t>
  </si>
  <si>
    <t>Primary Energy|Nuclear</t>
  </si>
  <si>
    <t>Primary Energy|Oil</t>
  </si>
  <si>
    <t>Primary Energy|Oil|w/o CCS</t>
  </si>
  <si>
    <t>Primary Energy|Solar</t>
  </si>
  <si>
    <t>Primary Energy|Wind</t>
  </si>
  <si>
    <t>Revenue|Government|Tax|Carbon</t>
  </si>
  <si>
    <t>Revenue|Government|Tax|Carbon|Demand|Industry</t>
  </si>
  <si>
    <t>Revenue|Government|Tax|Carbon|Demand|Residential and Commercial</t>
  </si>
  <si>
    <t>Revenue|Government|Tax|Carbon|Demand|Transportation</t>
  </si>
  <si>
    <t>Revenue|Government|Tax|Carbon|Supply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</si>
  <si>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</si>
  <si>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</si>
  <si>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</si>
  <si>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</si>
  <si>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Energy|Electricity|Geothermal</t>
  </si>
  <si>
    <t>Secondary Energy|Electricity|Hydro</t>
  </si>
  <si>
    <t>Secondary Energy|Electricity|Nuclear</t>
  </si>
  <si>
    <t>Secondary Energy|Electricity|Oil</t>
  </si>
  <si>
    <t>Secondary Energy|Electricity|Solar</t>
  </si>
  <si>
    <t>Secondary Energy|Electricity|Trade</t>
  </si>
  <si>
    <t>Secondary Energy|Electricity|Wind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</si>
  <si>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</si>
  <si>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</si>
  <si>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</si>
  <si>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</si>
  <si>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</si>
  <si>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Energy|Heat</t>
  </si>
  <si>
    <t>Secondary Energy|Hydrogen</t>
  </si>
  <si>
    <t>Secondary Energy|Liquids</t>
  </si>
  <si>
    <t>Secondary Energy|Liquids|Biomass</t>
  </si>
  <si>
    <t>Secondary Energy|Liquids|Coal</t>
  </si>
  <si>
    <t>Secondary Energy|Liquids|Gas</t>
  </si>
  <si>
    <t>Secondary Energy|Liquids|Oil</t>
  </si>
  <si>
    <t>Secondary Energy|Solids</t>
  </si>
  <si>
    <t>Secondary Energy|Solids|Biomass</t>
  </si>
  <si>
    <t>Secondary Energy|Solids|Coal</t>
  </si>
  <si>
    <t>Statistical Difference|Emissions|CO2</t>
  </si>
  <si>
    <t>Statistical Difference|Emissions|CO2|Energy</t>
  </si>
  <si>
    <t>Statistical Difference|Emissions|CO2|Industrial Processes</t>
  </si>
  <si>
    <t>Statistical Difference|Emissions|CO2|LULUCF Direct+Indirect</t>
  </si>
  <si>
    <t>Statistical Difference|Emissions|Total Non-CO2</t>
  </si>
  <si>
    <t>Statistical Difference|Primary Energy</t>
  </si>
  <si>
    <t>Statistical Difference|Primary Energy|Biomass</t>
  </si>
  <si>
    <t>Statistical Difference|Primary Energy|Coal</t>
  </si>
  <si>
    <t>Statistical Difference|Primary Energy|Coal|w/o CCS</t>
  </si>
  <si>
    <t>Statistical Difference|Primary Energy|Fossil</t>
  </si>
  <si>
    <t>Statistical Difference|Primary Energy|Fossil|w/ CCS</t>
  </si>
  <si>
    <t>Statistical Difference|Primary Energy|Fossil|w/o CCS</t>
  </si>
  <si>
    <t>Statistical Difference|Primary Energy|Gas</t>
  </si>
  <si>
    <t>Statistical Difference|Primary Energy|Gas|w/o CCS</t>
  </si>
  <si>
    <t>Statistical Difference|Primary Energy|Geothermal</t>
  </si>
  <si>
    <t>Statistical Difference|Primary Energy|Hydro</t>
  </si>
  <si>
    <t>Statistical Difference|Primary Energy|Nuclear</t>
  </si>
  <si>
    <t>Statistical Difference|Primary Energy|Oil</t>
  </si>
  <si>
    <t>Statistical Difference|Primary Energy|Oil|w/o CCS</t>
  </si>
  <si>
    <t>Statistical Difference|Primary Energy|Solar</t>
  </si>
  <si>
    <t>Statistical Difference|Primary Energy|Wind</t>
  </si>
  <si>
    <t>Statistical Difference|Secondary Energy|Electricity</t>
  </si>
  <si>
    <t>Statistical Difference|Secondary Energy|Electricity|Biomass</t>
  </si>
  <si>
    <t>Statistical Difference|Secondary Energy|Electricity|Coal</t>
  </si>
  <si>
    <t>Statistical Difference|Secondary Energy|Electricity|Gas</t>
  </si>
  <si>
    <t>Statistical Difference|Secondary Energy|Electricity|Geothermal</t>
  </si>
  <si>
    <t>Statistical Difference|Secondary Energy|Electricity|Hydro</t>
  </si>
  <si>
    <t>Statistical Difference|Secondary Energy|Electricity|Nuclear</t>
  </si>
  <si>
    <t>Statistical Difference|Secondary Energy|Electricity|Oil</t>
  </si>
  <si>
    <t>Statistical Difference|Secondary Energy|Electricity|Solar</t>
  </si>
  <si>
    <t>Statistical Difference|Secondary Energy|Electricity|Wind</t>
  </si>
  <si>
    <t>Trade|Primary Energy|Biomass|Volume</t>
  </si>
  <si>
    <t>Trade|Primary Energy|Coal|Volume</t>
  </si>
  <si>
    <t>Trade|Primary Energy|Gas|Volume</t>
  </si>
  <si>
    <t>Trade|Primary Energy|Oil|Volume</t>
  </si>
  <si>
    <t>Useful Energy</t>
  </si>
  <si>
    <t>Useful Energy|Industry</t>
  </si>
  <si>
    <t>Useful Energy|Industry|Electricity</t>
  </si>
  <si>
    <t>Useful Energy|Industry|Gases</t>
  </si>
  <si>
    <t>Useful Energy|Industry|Heat</t>
  </si>
  <si>
    <t>Useful Energy|Industry|Hydrogen</t>
  </si>
  <si>
    <t>Useful Energy|Industry|Liquids</t>
  </si>
  <si>
    <t>Useful Energy|Industry|Solids</t>
  </si>
  <si>
    <t>Useful Energy|Residential and Commercial</t>
  </si>
  <si>
    <t>Useful Energy|Residential and Commercial|Electricity</t>
  </si>
  <si>
    <t>Useful Energy|Residential and Commercial|Gases</t>
  </si>
  <si>
    <t>Useful Energy|Residential and Commercial|Heat</t>
  </si>
  <si>
    <t>Useful Energy|Residential and Commercial|Liquids</t>
  </si>
  <si>
    <t>Useful Energy|Residential and Commercial|Solids</t>
  </si>
  <si>
    <t>Useful Energy|Transportation</t>
  </si>
  <si>
    <t>Useful Energy|Transportation|Electricity</t>
  </si>
  <si>
    <t>Useful Energy|Transportation|Gases</t>
  </si>
  <si>
    <t>Useful Energy|Transportation|Hydrogen</t>
  </si>
  <si>
    <t>Useful Energy|Transportation|Liquids</t>
  </si>
  <si>
    <t>variable</t>
  </si>
  <si>
    <t>potential_use</t>
  </si>
  <si>
    <t>fuel supply</t>
  </si>
  <si>
    <t>CCS potential</t>
  </si>
  <si>
    <t>scenarios - CO2 abatement</t>
  </si>
  <si>
    <t>Agriculture</t>
  </si>
  <si>
    <t>dam</t>
  </si>
  <si>
    <t>smr</t>
  </si>
  <si>
    <t>geo</t>
  </si>
  <si>
    <t>ren</t>
  </si>
  <si>
    <t>demand projection - total</t>
  </si>
  <si>
    <t>commodity</t>
  </si>
  <si>
    <t>CO2</t>
  </si>
  <si>
    <t>elc_industry</t>
  </si>
  <si>
    <t>elc_buildings</t>
  </si>
  <si>
    <t>elc_transport</t>
  </si>
  <si>
    <t>demand_projection</t>
  </si>
  <si>
    <t>fuel_supply</t>
  </si>
  <si>
    <t>kinesys</t>
  </si>
  <si>
    <t>iso</t>
  </si>
  <si>
    <t>Asia_other</t>
  </si>
  <si>
    <t>Europe_other</t>
  </si>
  <si>
    <t>Africa_north</t>
  </si>
  <si>
    <t>Africa_other</t>
  </si>
  <si>
    <t>LatAm_other</t>
  </si>
  <si>
    <t>Arg-Chi</t>
  </si>
  <si>
    <t>Asia_central</t>
  </si>
  <si>
    <t>Australia_NZ</t>
  </si>
  <si>
    <t>EU_northeast</t>
  </si>
  <si>
    <t>MidEast_other</t>
  </si>
  <si>
    <t>Russia</t>
  </si>
  <si>
    <t>EU_northwest</t>
  </si>
  <si>
    <t>EU_southeast</t>
  </si>
  <si>
    <t>EU_south</t>
  </si>
  <si>
    <t>EU_north</t>
  </si>
  <si>
    <t>UK</t>
  </si>
  <si>
    <t>Nor-Ice</t>
  </si>
  <si>
    <t>Asia_east</t>
  </si>
  <si>
    <t>ANT</t>
  </si>
  <si>
    <t>EU_southwest</t>
  </si>
  <si>
    <t>SaudiArabia</t>
  </si>
  <si>
    <t>SouthAfrica</t>
  </si>
  <si>
    <t>TWN</t>
  </si>
  <si>
    <t>VAT</t>
  </si>
  <si>
    <t>Taiwan</t>
  </si>
  <si>
    <t>UAE</t>
  </si>
  <si>
    <t>Alias</t>
  </si>
  <si>
    <t>2-alpha code</t>
  </si>
  <si>
    <t>IEAReg</t>
  </si>
  <si>
    <t>~China~People's Republic of China~CHI~China, mainland~</t>
  </si>
  <si>
    <t>CN</t>
  </si>
  <si>
    <t>CHI</t>
  </si>
  <si>
    <t>CHINA</t>
  </si>
  <si>
    <t>~India~Republic of India~</t>
  </si>
  <si>
    <t>IN</t>
  </si>
  <si>
    <t>INDIA</t>
  </si>
  <si>
    <t>United States</t>
  </si>
  <si>
    <t>~United States~United States of America~USA~US~</t>
  </si>
  <si>
    <t>US</t>
  </si>
  <si>
    <t>~Indonesia~Republic of Indonesia~</t>
  </si>
  <si>
    <t>ID</t>
  </si>
  <si>
    <t>INDONESIA</t>
  </si>
  <si>
    <t>~Brazil~Brasil~Federative Republic of Brazil~BRZ~</t>
  </si>
  <si>
    <t>BR</t>
  </si>
  <si>
    <t>BRAZIL</t>
  </si>
  <si>
    <t>~Russia~Russian Federation~Soviet Union~Union of Soviet Socialist Republics~USSR~Russian Fed~</t>
  </si>
  <si>
    <t>RU</t>
  </si>
  <si>
    <t>RUSSIA</t>
  </si>
  <si>
    <t>~Japan~</t>
  </si>
  <si>
    <t>JP</t>
  </si>
  <si>
    <t>JAPAN</t>
  </si>
  <si>
    <t>~Algeria~People's Democratic Republic of Algeria~</t>
  </si>
  <si>
    <t>DZ</t>
  </si>
  <si>
    <t>ALGERIA</t>
  </si>
  <si>
    <t>~Mexico~United Mexican States~</t>
  </si>
  <si>
    <t>MX</t>
  </si>
  <si>
    <t>MEXICO</t>
  </si>
  <si>
    <t>~Germany~Federal Republic of Germany~German Democratic Republic~</t>
  </si>
  <si>
    <t>DE</t>
  </si>
  <si>
    <t>GERMANY</t>
  </si>
  <si>
    <t>~UK~United Kingdom~Great Britain~Britain~United Kingdom of Great Britain and Northern Ireland~England~ENGLAND &amp; WALES~England and Wales ~Northern Ireland~Scotland~Wales~</t>
  </si>
  <si>
    <t>GB</t>
  </si>
  <si>
    <t>~French Republic~France~</t>
  </si>
  <si>
    <t>FR</t>
  </si>
  <si>
    <t>FRANCE</t>
  </si>
  <si>
    <t>South Korea</t>
  </si>
  <si>
    <t>~Republic of Korea~South Korea~Korea~Korea, Rep.~SKO~Korea, South~Korea Rep~Korea, Republic of~</t>
  </si>
  <si>
    <t>KR</t>
  </si>
  <si>
    <t>KOREA</t>
  </si>
  <si>
    <t>~Turkey~Republic of Turkey~Republic of Turkiye~Türkiye~Turkiye~</t>
  </si>
  <si>
    <t>TR</t>
  </si>
  <si>
    <t>TURKEY</t>
  </si>
  <si>
    <t>~Angola~Republic of Angola~</t>
  </si>
  <si>
    <t>AO</t>
  </si>
  <si>
    <t>ANGOLA</t>
  </si>
  <si>
    <t>~Pakistan~Islamic Republic of Pakistan~</t>
  </si>
  <si>
    <t>PK</t>
  </si>
  <si>
    <t>PAKISTAN</t>
  </si>
  <si>
    <t>~Italy~Italian Republic~</t>
  </si>
  <si>
    <t>IT</t>
  </si>
  <si>
    <t>ITALY</t>
  </si>
  <si>
    <t>~Thailand~Kingdom of Thailand~</t>
  </si>
  <si>
    <t>TH</t>
  </si>
  <si>
    <t>THAILAND</t>
  </si>
  <si>
    <t>~Canada~</t>
  </si>
  <si>
    <t>CA</t>
  </si>
  <si>
    <t>CANADA</t>
  </si>
  <si>
    <t>~Bangladesh~People's Republic of Bangladesh~</t>
  </si>
  <si>
    <t>BD</t>
  </si>
  <si>
    <t>BANGLADESH</t>
  </si>
  <si>
    <t>~Australia~Commonwealth of Australia~Australian Antarctic Territory~AUSTRALI~</t>
  </si>
  <si>
    <t>AU</t>
  </si>
  <si>
    <t>AUSTRALI</t>
  </si>
  <si>
    <t>~Iran~Islamic Republic of Iran~Iran (Islamic Republic of)~Iran, Islamic Rep.~Iran IR~</t>
  </si>
  <si>
    <t>IR</t>
  </si>
  <si>
    <t>IRAN</t>
  </si>
  <si>
    <t>~Philippines~Republic of the Philippines~PHILIPPINE~</t>
  </si>
  <si>
    <t>PH</t>
  </si>
  <si>
    <t>PHILIPPINE</t>
  </si>
  <si>
    <t>~Spain~Kingdom of Spain~España~</t>
  </si>
  <si>
    <t>ES</t>
  </si>
  <si>
    <t>SPAIN</t>
  </si>
  <si>
    <t>~Saudi Arabia~Kingdom of Saudi Arabia~SAUDIARABI~</t>
  </si>
  <si>
    <t>SA</t>
  </si>
  <si>
    <t>SAUDIARABI</t>
  </si>
  <si>
    <t>~Argentina~Argentine Republic~</t>
  </si>
  <si>
    <t>AR</t>
  </si>
  <si>
    <t>ARGENTINA</t>
  </si>
  <si>
    <t>~Vietnam~Socialist Republic of Vietnam~Viet Nam~</t>
  </si>
  <si>
    <t>VN</t>
  </si>
  <si>
    <t>VIETNAM</t>
  </si>
  <si>
    <t>~Benin~Republic of Benin~</t>
  </si>
  <si>
    <t>BJ</t>
  </si>
  <si>
    <t>BENIN</t>
  </si>
  <si>
    <t>~Malaysia~</t>
  </si>
  <si>
    <t>MY</t>
  </si>
  <si>
    <t>MALAYSIA</t>
  </si>
  <si>
    <t>~Colombia~Republic of Colombia~</t>
  </si>
  <si>
    <t>CO</t>
  </si>
  <si>
    <t>COLOMBIA</t>
  </si>
  <si>
    <t>~Poland~Republic of Poland~</t>
  </si>
  <si>
    <t>PL</t>
  </si>
  <si>
    <t>POLAND</t>
  </si>
  <si>
    <t>~Taiwan~Chinese Taipei~TAIPEI~China, Taiwan Province of~China, Taiwan Province of China~</t>
  </si>
  <si>
    <t>TW</t>
  </si>
  <si>
    <t>TAIPEI</t>
  </si>
  <si>
    <t>~Botswana~Republic of Botswana~</t>
  </si>
  <si>
    <t>BW</t>
  </si>
  <si>
    <t>BOTSWANA</t>
  </si>
  <si>
    <t>~Peru~Republic of Peru~</t>
  </si>
  <si>
    <t>PE</t>
  </si>
  <si>
    <t>PERU</t>
  </si>
  <si>
    <t>~United Arab Emirates~UAE~United Arab Emirates (AE)~United Arab Em~</t>
  </si>
  <si>
    <t>AE</t>
  </si>
  <si>
    <t>~Ukraine~</t>
  </si>
  <si>
    <t>UA</t>
  </si>
  <si>
    <t>UKRAINE</t>
  </si>
  <si>
    <t>~Netherlands~Kingdom of the Netherlands~The Netherlands~NETHLAND~</t>
  </si>
  <si>
    <t>NL</t>
  </si>
  <si>
    <t>NETHLAND</t>
  </si>
  <si>
    <t>~Venezuela~Bolivarian Republic of Venezuela~República Bolivariana de Venezuela~Venezuela (Bolivarian Republic of)~Venezuela, RB~</t>
  </si>
  <si>
    <t>VE</t>
  </si>
  <si>
    <t>VENEZUELA</t>
  </si>
  <si>
    <t>~Burkina Faso~</t>
  </si>
  <si>
    <t>BF</t>
  </si>
  <si>
    <t>OTHERAFRIC</t>
  </si>
  <si>
    <t>~Burundi~Republic of Burundi~</t>
  </si>
  <si>
    <t>BI</t>
  </si>
  <si>
    <t>~Cameroon~Republic of Cameroon~</t>
  </si>
  <si>
    <t>CM</t>
  </si>
  <si>
    <t>CAMEROON</t>
  </si>
  <si>
    <t>~Cape Verde~Republic of Cape Verde~Cape Verde Islands~Cabo Verde~Republic of Cabo Verde~Islands of Cape Verde~</t>
  </si>
  <si>
    <t>CV</t>
  </si>
  <si>
    <t>~Chile~Republic of Chile~</t>
  </si>
  <si>
    <t>CL</t>
  </si>
  <si>
    <t>CHILE</t>
  </si>
  <si>
    <t>~Kazakhstan~Republic of Kazakhstan~</t>
  </si>
  <si>
    <t>KZ</t>
  </si>
  <si>
    <t>KAZAKHSTAN</t>
  </si>
  <si>
    <t>~Iraq~republic of Iraq~</t>
  </si>
  <si>
    <t>IQ</t>
  </si>
  <si>
    <t>IRAQ</t>
  </si>
  <si>
    <t>~Israel~State of Israel~</t>
  </si>
  <si>
    <t>IL</t>
  </si>
  <si>
    <t>ISRAEL</t>
  </si>
  <si>
    <t>~Syria~Syrian Republic~Syrian Arab Republic~Syrian AR~</t>
  </si>
  <si>
    <t>SY</t>
  </si>
  <si>
    <t>SYRIA</t>
  </si>
  <si>
    <t>~Sweden~Kingdom of Sweden~</t>
  </si>
  <si>
    <t>SE</t>
  </si>
  <si>
    <t>SWEDEN</t>
  </si>
  <si>
    <t>~Central African Republic~Central African Rep.~</t>
  </si>
  <si>
    <t>CF</t>
  </si>
  <si>
    <t>Czech Republic</t>
  </si>
  <si>
    <t>~Czech Republic~Czechoslovakia~Czech Rep.~CZECH~Czechia~</t>
  </si>
  <si>
    <t>CZ</t>
  </si>
  <si>
    <t>CZECH</t>
  </si>
  <si>
    <t>~Chad~Republic of Chad~Tchad~Tchadd~Chade~</t>
  </si>
  <si>
    <t>TD</t>
  </si>
  <si>
    <t>~Belgium~Kingdom of Belgium~</t>
  </si>
  <si>
    <t>BE</t>
  </si>
  <si>
    <t>BELGIUM</t>
  </si>
  <si>
    <t>Hong Kong SAR, China</t>
  </si>
  <si>
    <t>~Hong Kong~Hong Kong Special Administrative Region~China Hong Kong SAR~Hong Kong SAR, China~Hong Kong (China)~China, Hong Kong SAR~Hong Kong, China~HONGKONG~HONG-KONG~China HK SAR~</t>
  </si>
  <si>
    <t>HK</t>
  </si>
  <si>
    <t>HONGKONG</t>
  </si>
  <si>
    <t>~Sri Lanka~Democratic Socialist Republic of Sri Lanka~Sri-Lanka~SRILANKA~</t>
  </si>
  <si>
    <t>LK</t>
  </si>
  <si>
    <t>SRILANKA</t>
  </si>
  <si>
    <t>~Uzbekistan~Republic of Uzbekistan~</t>
  </si>
  <si>
    <t>UZ</t>
  </si>
  <si>
    <t>UZBEKISTAN</t>
  </si>
  <si>
    <t>~Switzerland~Swiss Confederation~Confederation of Helvetia~SWITLAND~</t>
  </si>
  <si>
    <t>CH</t>
  </si>
  <si>
    <t>SWITLAND</t>
  </si>
  <si>
    <t>~Comoros~Union of the Comoros~</t>
  </si>
  <si>
    <t>KM</t>
  </si>
  <si>
    <t>~Austria~Republic of Austria~</t>
  </si>
  <si>
    <t>AT</t>
  </si>
  <si>
    <t>AUSTRIA</t>
  </si>
  <si>
    <t>Democratic Republic of Congo</t>
  </si>
  <si>
    <t>~Democratic Republic of Congo~The Democratic Republic of Congo~Dem. Republic of the Congo~Democratoc Republic of the Congo~Congo DR~Dem. Rep. Congo~Congo, Dem. Rep.~COD~Democratic Republic of the Congo~Congo, Kinshasa~DR Congo~CONGO KINSHASA~</t>
  </si>
  <si>
    <t>CD</t>
  </si>
  <si>
    <t>CONGOREP</t>
  </si>
  <si>
    <t>~Singapore~Republic of Singapore~</t>
  </si>
  <si>
    <t>SG</t>
  </si>
  <si>
    <t>SINGAPORE</t>
  </si>
  <si>
    <t>~Greece~Hellenic Republic~EL~</t>
  </si>
  <si>
    <t>GREECE</t>
  </si>
  <si>
    <t>~Kuwait~State of Kuwait~</t>
  </si>
  <si>
    <t>KW</t>
  </si>
  <si>
    <t>KUWAIT</t>
  </si>
  <si>
    <t>~Myanmar~Burma~Republic of the Union of Myanmar~Union of Myanmar~Republic Union of Myanmar~Burma (Myanmar)~</t>
  </si>
  <si>
    <t>MM</t>
  </si>
  <si>
    <t>MYANMAR</t>
  </si>
  <si>
    <t>~Norway~Kingdom of Norway~</t>
  </si>
  <si>
    <t>NO</t>
  </si>
  <si>
    <t>NORWAY</t>
  </si>
  <si>
    <t>~Ecuador~Republic of Ecuador~</t>
  </si>
  <si>
    <t>ECUADOR</t>
  </si>
  <si>
    <t>~Djibouti~Republic of Djibouti~</t>
  </si>
  <si>
    <t>DJ</t>
  </si>
  <si>
    <t>~Egypt~Arab Republic of Egypt~Egypt, Arab Rep.~</t>
  </si>
  <si>
    <t>EG</t>
  </si>
  <si>
    <t>EGYPT</t>
  </si>
  <si>
    <t>~Portugal~Portuguese Republic~</t>
  </si>
  <si>
    <t>PT</t>
  </si>
  <si>
    <t>PORTUGAL</t>
  </si>
  <si>
    <t>~Guinea~Republic of Guinea~</t>
  </si>
  <si>
    <t>GN</t>
  </si>
  <si>
    <t>~Equatorial Guinea~Republic of Equatorial Guinea~EQGUINEA~</t>
  </si>
  <si>
    <t>GQ</t>
  </si>
  <si>
    <t>EQGUINEA</t>
  </si>
  <si>
    <t>~Guatemala~Republic of Guatemala~</t>
  </si>
  <si>
    <t>GT</t>
  </si>
  <si>
    <t>GUATEMALA</t>
  </si>
  <si>
    <t>~Qatar~State of Qatar~</t>
  </si>
  <si>
    <t>QA</t>
  </si>
  <si>
    <t>QATAR</t>
  </si>
  <si>
    <t>~Yemen~Democratic Yemen~Republic of Yemen~Yemen, Rep.~Yemen, Rep~</t>
  </si>
  <si>
    <t>YE</t>
  </si>
  <si>
    <t>YEMEN</t>
  </si>
  <si>
    <t>~Eritrea~State of Eritrea~</t>
  </si>
  <si>
    <t>ER</t>
  </si>
  <si>
    <t>ERITREA</t>
  </si>
  <si>
    <t>~Ethiopia~Federal Democratic Republic of Ethiopia~</t>
  </si>
  <si>
    <t>ET</t>
  </si>
  <si>
    <t>ETHIOPIA</t>
  </si>
  <si>
    <t>~Belarus~Republic of Belarus~</t>
  </si>
  <si>
    <t>BY</t>
  </si>
  <si>
    <t>BELARUS</t>
  </si>
  <si>
    <t>~Nepal~</t>
  </si>
  <si>
    <t>NP</t>
  </si>
  <si>
    <t>NEPAL</t>
  </si>
  <si>
    <t>~Ireland~</t>
  </si>
  <si>
    <t>IE</t>
  </si>
  <si>
    <t>IRELAND</t>
  </si>
  <si>
    <t>~Hungary~Republic of Hungary~</t>
  </si>
  <si>
    <t>HU</t>
  </si>
  <si>
    <t>HUNGARY</t>
  </si>
  <si>
    <t>~Finland~Republic of Finland~</t>
  </si>
  <si>
    <t>FI</t>
  </si>
  <si>
    <t>FINLAND</t>
  </si>
  <si>
    <t>~Denmark~Kingdom of Denmark~</t>
  </si>
  <si>
    <t>DK</t>
  </si>
  <si>
    <t>DENMARK</t>
  </si>
  <si>
    <t>~Dominican Republic~Dominican Rep.~DOMINICANR~Dominican Rep~</t>
  </si>
  <si>
    <t>DO</t>
  </si>
  <si>
    <t>DOMINICANR</t>
  </si>
  <si>
    <t>~Gabon~Gabonese Republic~Gabon Republic~</t>
  </si>
  <si>
    <t>GABON</t>
  </si>
  <si>
    <t>~Ghana~Republic of Ghana~</t>
  </si>
  <si>
    <t>GH</t>
  </si>
  <si>
    <t>GHANA</t>
  </si>
  <si>
    <t>~Bolivia~Plurinational State of Bolivia~Bolivia (Plurinational State of)~</t>
  </si>
  <si>
    <t>BO</t>
  </si>
  <si>
    <t>BOLIVIA</t>
  </si>
  <si>
    <t>~Guinea-Bissau~Republic of Guinea-Bissau~Guinea Bissau~</t>
  </si>
  <si>
    <t>GW</t>
  </si>
  <si>
    <t>~Jordan~Hashemite Kingdom of Jordan~Kingdom of Jordan~</t>
  </si>
  <si>
    <t>JO</t>
  </si>
  <si>
    <t>JORDAN</t>
  </si>
  <si>
    <t>~New Zealand~NZ~</t>
  </si>
  <si>
    <t>NZ</t>
  </si>
  <si>
    <t>~Cambodia~Kingdom of Cambodia~</t>
  </si>
  <si>
    <t>KH</t>
  </si>
  <si>
    <t>CAMBODIA</t>
  </si>
  <si>
    <t>Slovak Republic</t>
  </si>
  <si>
    <t>~Slovakia~Slovak Republic~</t>
  </si>
  <si>
    <t>SK</t>
  </si>
  <si>
    <t>SLOVAKIA</t>
  </si>
  <si>
    <t>~Bulgaria~Republic of Bulgaria~</t>
  </si>
  <si>
    <t>BG</t>
  </si>
  <si>
    <t>BULGARIA</t>
  </si>
  <si>
    <t>~Oman~Sultanate of Oman~</t>
  </si>
  <si>
    <t>OM</t>
  </si>
  <si>
    <t>OMAN</t>
  </si>
  <si>
    <t>~Turkmenistan~TURKMENIST~</t>
  </si>
  <si>
    <t>TM</t>
  </si>
  <si>
    <t>TURKMENIST</t>
  </si>
  <si>
    <t>~Lesotho~Kingdom of Lesotho~</t>
  </si>
  <si>
    <t>LS</t>
  </si>
  <si>
    <t>Ivory Coast</t>
  </si>
  <si>
    <t>~Cote D'Ivoire~Côte D'ivoire~Côte D'ivoire (Ivory Coast)~Ivory Coast~Republic of Côte d'Ivoire~Ivory Coast~Côte d'Ivoire~Cote dIvoire (IvoryCoast)~COTEIVOIRE~Cote Divoire~Côte d’Ivoire~Cote d Ivoire~</t>
  </si>
  <si>
    <t>CI</t>
  </si>
  <si>
    <t>COTEIVOIRE</t>
  </si>
  <si>
    <t>~Panama~Republic of Panama~</t>
  </si>
  <si>
    <t>PA</t>
  </si>
  <si>
    <t>PANAMA</t>
  </si>
  <si>
    <t>~Kenya~Republic of Kenya~</t>
  </si>
  <si>
    <t>KE</t>
  </si>
  <si>
    <t>KENYA</t>
  </si>
  <si>
    <t>~Liberia~Republic of Liberia~</t>
  </si>
  <si>
    <t>LR</t>
  </si>
  <si>
    <t>~Madagascar~Republic of Madagascar~MMADAGASCA~</t>
  </si>
  <si>
    <t>MG</t>
  </si>
  <si>
    <t>~Paraguay~Republic of Paraguay~</t>
  </si>
  <si>
    <t>PY</t>
  </si>
  <si>
    <t>PARAGUAY</t>
  </si>
  <si>
    <t>~Costa Rica~Republic of Costa Rica~COSTARICA~</t>
  </si>
  <si>
    <t>CR</t>
  </si>
  <si>
    <t>COSTARICA</t>
  </si>
  <si>
    <t>~Libyan Arab Jamahiriya~Libyan Arab Jamahirya~Socialist People's Libyan Arab Jamahiriya~Great Socialist People's Libyan Arab Jamahiriya~LIBYA~Libya~</t>
  </si>
  <si>
    <t>LY</t>
  </si>
  <si>
    <t>LIBYA</t>
  </si>
  <si>
    <t>~Cuba~Republic of Cuba~</t>
  </si>
  <si>
    <t>CU</t>
  </si>
  <si>
    <t>CUBA</t>
  </si>
  <si>
    <t>~Lebanon~Lebanese Republic~</t>
  </si>
  <si>
    <t>LB</t>
  </si>
  <si>
    <t>LEBANON</t>
  </si>
  <si>
    <t>~Malawi~Republic of Malawi~</t>
  </si>
  <si>
    <t>MW</t>
  </si>
  <si>
    <t>~Serbia~Republic of Serbia~Serbia and Montenegro~Serbia-Montenegro~</t>
  </si>
  <si>
    <t>RS</t>
  </si>
  <si>
    <t>SERBIA</t>
  </si>
  <si>
    <t>~Honduras~Republic of Honduras~</t>
  </si>
  <si>
    <t>HN</t>
  </si>
  <si>
    <t>HONDURAS</t>
  </si>
  <si>
    <t>~Azerbaijan~Republic of Azerbaijan~AZERBAIDJAN~</t>
  </si>
  <si>
    <t>AZ</t>
  </si>
  <si>
    <t>AZERBAIJAN</t>
  </si>
  <si>
    <t>~Mali~Republic of Mali~MMALI~</t>
  </si>
  <si>
    <t>ML</t>
  </si>
  <si>
    <t>~Mauritania~Islamic Republic of Mauritania~</t>
  </si>
  <si>
    <t>MR</t>
  </si>
  <si>
    <t>~Rwanda~Republic of Rwanda~</t>
  </si>
  <si>
    <t>RW</t>
  </si>
  <si>
    <t>Laos</t>
  </si>
  <si>
    <t>~Laos~Republic of Laos~Lao PDR~Lao People's Democratic Republic~LAO~</t>
  </si>
  <si>
    <t>LA</t>
  </si>
  <si>
    <t>~Mongolia~</t>
  </si>
  <si>
    <t>MN</t>
  </si>
  <si>
    <t>MONGOLIA</t>
  </si>
  <si>
    <t>~Uruguay~Oriental Republic of Uruguay~</t>
  </si>
  <si>
    <t>UY</t>
  </si>
  <si>
    <t>URUGUAY</t>
  </si>
  <si>
    <t>~Haiti~Republic of Haiti~</t>
  </si>
  <si>
    <t>HT</t>
  </si>
  <si>
    <t>HAITI</t>
  </si>
  <si>
    <t>~Bahrain~Kingdom of Bahrain~</t>
  </si>
  <si>
    <t>BH</t>
  </si>
  <si>
    <t>BAHRAIN</t>
  </si>
  <si>
    <t>~Croatia~Republic of Croatia~</t>
  </si>
  <si>
    <t>HR</t>
  </si>
  <si>
    <t>CROATIA</t>
  </si>
  <si>
    <t>~Tajikistan~Republic of Tajikistan~</t>
  </si>
  <si>
    <t>TJ</t>
  </si>
  <si>
    <t>TAJIKISTAN</t>
  </si>
  <si>
    <t>~Sao Tome and Principe~São Tomé and Principe~Democratic Republic of São Tomé and Principe~Democratic Republic of Sao Tome and Principe~SAO TOME &amp; PRINCIPE~Sao Tome~</t>
  </si>
  <si>
    <t>ST</t>
  </si>
  <si>
    <t>~Seychelles~Republic of Seychelles~</t>
  </si>
  <si>
    <t>SC</t>
  </si>
  <si>
    <t>~El Salvador~Republic of El Salvador~ELSALVADOR~</t>
  </si>
  <si>
    <t>SV</t>
  </si>
  <si>
    <t>ELSALVADOR</t>
  </si>
  <si>
    <t>~Lithuania~Republic of Lithuania~United Republic of Lithuania~</t>
  </si>
  <si>
    <t>LT</t>
  </si>
  <si>
    <t>LITHUANIA</t>
  </si>
  <si>
    <t>~Slovenia~Republic of Slovenia~</t>
  </si>
  <si>
    <t>SI</t>
  </si>
  <si>
    <t>SLOVENIA</t>
  </si>
  <si>
    <t>~Nicaragua~Republic of Nicaragua~</t>
  </si>
  <si>
    <t>NI</t>
  </si>
  <si>
    <t>NICARAGUA</t>
  </si>
  <si>
    <t>~Mauritius~Republic of Mauritius~</t>
  </si>
  <si>
    <t>MU</t>
  </si>
  <si>
    <t>MAURITIUS</t>
  </si>
  <si>
    <t>~Mayotte~</t>
  </si>
  <si>
    <t>YT</t>
  </si>
  <si>
    <t>~Georgia~</t>
  </si>
  <si>
    <t>GE</t>
  </si>
  <si>
    <t>GEORGIA</t>
  </si>
  <si>
    <t>~Bosnia and Herzegovina~Bosnia-Herzegovina~Bosnia &amp; Herzegovina~BOSNIAHERZ~Bosnia~Bosnia Herzg~</t>
  </si>
  <si>
    <t>BA</t>
  </si>
  <si>
    <t>BOSNIAHERZ</t>
  </si>
  <si>
    <t>~Morocco~Kingdom of Morocco~</t>
  </si>
  <si>
    <t>MA</t>
  </si>
  <si>
    <t>MOROCCO</t>
  </si>
  <si>
    <t>Kyrgyz Republic</t>
  </si>
  <si>
    <t>~Kyrgyz Republic~Kyrgyzstan~Kyrgyz Rep.~</t>
  </si>
  <si>
    <t>KG</t>
  </si>
  <si>
    <t>KYRGYZSTAN</t>
  </si>
  <si>
    <t>~Mozambique~Republic of Mozambique~Moçambique~</t>
  </si>
  <si>
    <t>MZ</t>
  </si>
  <si>
    <t>MOZAMBIQUE</t>
  </si>
  <si>
    <t>~Namibia~Republic of Namibia~</t>
  </si>
  <si>
    <t>NAMIBIA</t>
  </si>
  <si>
    <t>~Latvia~</t>
  </si>
  <si>
    <t>LV</t>
  </si>
  <si>
    <t>LATVIA</t>
  </si>
  <si>
    <t>~Niger~Republic of Niger~Niger Republic~</t>
  </si>
  <si>
    <t>NE</t>
  </si>
  <si>
    <t>NIGER</t>
  </si>
  <si>
    <t>~Nigeria~Federal Republic of Nigeria~</t>
  </si>
  <si>
    <t>NG</t>
  </si>
  <si>
    <t>NIGERIA</t>
  </si>
  <si>
    <t>Macedonia</t>
  </si>
  <si>
    <t>~Macedonia~Former Yugoslav Republic of Macedonia~Yugoslavia~TFYR Macedonia~The former Yugoslav Republic of Macedonia~FYR of Macedonia~Macedonia, FYR~MYUGO~North Macedonia~</t>
  </si>
  <si>
    <t>MK</t>
  </si>
  <si>
    <t>NORTHMACED</t>
  </si>
  <si>
    <t>~Luxembourg~Grand Duchy of Luxembourg~LUXEMBOU~</t>
  </si>
  <si>
    <t>LU</t>
  </si>
  <si>
    <t>LUXEMBOU</t>
  </si>
  <si>
    <t>Palestine</t>
  </si>
  <si>
    <t>~Palestine~State of Palestine~Occupied Palestinian Territory~Palestinian Territories~MPALESTINE~Palestina~</t>
  </si>
  <si>
    <t>PS</t>
  </si>
  <si>
    <t>MPALESTINE</t>
  </si>
  <si>
    <t>~Albania~Republic of Albania~</t>
  </si>
  <si>
    <t>AL</t>
  </si>
  <si>
    <t>ALBANIA</t>
  </si>
  <si>
    <t>Republic of Congo</t>
  </si>
  <si>
    <t>~Congo~Republic of Congo~The Republic of Congo~CONGO DEM REP~Republic of the Congo~Congo Republic~Republic Of CongoCongo~Congo (Brazzaville)~CONGOREP~Congo, Brazzaville~Congo, Rep.~Dem. Repub. of Congo~</t>
  </si>
  <si>
    <t>CG</t>
  </si>
  <si>
    <t>CONGO</t>
  </si>
  <si>
    <t>~Estonia~Republic of Estonia~</t>
  </si>
  <si>
    <t>EE</t>
  </si>
  <si>
    <t>ESTONIA</t>
  </si>
  <si>
    <t>~Sierra Leone~Republic of Sierra Leone~</t>
  </si>
  <si>
    <t>SL</t>
  </si>
  <si>
    <t>~Trinidad and Tobago~Republic of Trinidad and Tobago~TRINIDAD &amp; TOBAGO~TRINIDAD~Trinidad Tobago~</t>
  </si>
  <si>
    <t>TT</t>
  </si>
  <si>
    <t>TRINIDAD</t>
  </si>
  <si>
    <t>~Somalia~Somali Democratic Republic~</t>
  </si>
  <si>
    <t>SO</t>
  </si>
  <si>
    <t>Swaziland</t>
  </si>
  <si>
    <t>~Swaziland~Kingdom of Swaziland~Eswatini~</t>
  </si>
  <si>
    <t>SZ</t>
  </si>
  <si>
    <t>~Republic of Armenia~Armenia~</t>
  </si>
  <si>
    <t>AM</t>
  </si>
  <si>
    <t>ARMENIA</t>
  </si>
  <si>
    <t>The Gambia</t>
  </si>
  <si>
    <t>~Gambia~Republic of The Gambia~The Gambia~Gambia,  The~</t>
  </si>
  <si>
    <t>GM</t>
  </si>
  <si>
    <t>Moldova</t>
  </si>
  <si>
    <t>~Moldova~Republic of Moldova~MOLDAVIA~Moldova Rep~</t>
  </si>
  <si>
    <t>MD</t>
  </si>
  <si>
    <t>MOLDOVA</t>
  </si>
  <si>
    <t>~Jamaica~</t>
  </si>
  <si>
    <t>JM</t>
  </si>
  <si>
    <t>JAMAICA</t>
  </si>
  <si>
    <t>~Cyprus~Republic of Cyprus~Turkish Republic of Northern Cyprus~</t>
  </si>
  <si>
    <t>CY</t>
  </si>
  <si>
    <t>CYPRUS</t>
  </si>
  <si>
    <t>Brunei</t>
  </si>
  <si>
    <t>~Brunei~Brunei Darussalam~Brunei Darsm~</t>
  </si>
  <si>
    <t>BN</t>
  </si>
  <si>
    <t>BRUNEI</t>
  </si>
  <si>
    <t>~Senegal~Republic of Senegal~Senegal Republic~</t>
  </si>
  <si>
    <t>SN</t>
  </si>
  <si>
    <t>SENEGAL</t>
  </si>
  <si>
    <t>~Uganda~Republic of Uganda~MUGANDA~</t>
  </si>
  <si>
    <t>UG</t>
  </si>
  <si>
    <t>~Iceland~Republic of Iceland~</t>
  </si>
  <si>
    <t>IS</t>
  </si>
  <si>
    <t>ICELAND</t>
  </si>
  <si>
    <t>~Afghanistan~Islamic State of Afghanistan~</t>
  </si>
  <si>
    <t>AF</t>
  </si>
  <si>
    <t>OTHERASIA</t>
  </si>
  <si>
    <t>~Papua New Guinea~Independent State of Papua New Guinea~The Independent State of Papua New Guinea~Papua N Guin~</t>
  </si>
  <si>
    <t>PG</t>
  </si>
  <si>
    <t>~South Africa~Republic of South Africa~SOUTHAFRIC~</t>
  </si>
  <si>
    <t>ZA</t>
  </si>
  <si>
    <t>SOUTHAFRIC</t>
  </si>
  <si>
    <t>~South Sudan~Republic of South Sudan~SSUDAN~</t>
  </si>
  <si>
    <t>SS</t>
  </si>
  <si>
    <t>SSUDAN</t>
  </si>
  <si>
    <t>~Malta~Republic of Malta~</t>
  </si>
  <si>
    <t>MT</t>
  </si>
  <si>
    <t>MALTA</t>
  </si>
  <si>
    <t>Macao SAR, China</t>
  </si>
  <si>
    <t>~Macao~Macao SAR~Macao Special Administrative Region of the People's Republic of China~Macau~Macao SAR, China~China, Macao SAR~Macao,  China~</t>
  </si>
  <si>
    <t>MO</t>
  </si>
  <si>
    <t>~Suriname~Republic of Suriname~Surinam~</t>
  </si>
  <si>
    <t>SR</t>
  </si>
  <si>
    <t>SURINAME</t>
  </si>
  <si>
    <t>~Sudan~Republic of the Sudan~Sudan and South Sudan~</t>
  </si>
  <si>
    <t>SD</t>
  </si>
  <si>
    <t>SUDAN</t>
  </si>
  <si>
    <t>~Montenegro~Republic of Montenegro~</t>
  </si>
  <si>
    <t>ME</t>
  </si>
  <si>
    <t>MONTENEGRO</t>
  </si>
  <si>
    <t>~Bhutan~Kingdom of Bhutan~</t>
  </si>
  <si>
    <t>BT</t>
  </si>
  <si>
    <t>~New Caledonia~New Caledon~</t>
  </si>
  <si>
    <t>NC</t>
  </si>
  <si>
    <t>~Fiji~Republic of Fiji~Republic of the Fiji Islands~</t>
  </si>
  <si>
    <t>FJ</t>
  </si>
  <si>
    <t>~Solomon Islands~</t>
  </si>
  <si>
    <t>SB</t>
  </si>
  <si>
    <t>~Maldives~Republic of Maldives~</t>
  </si>
  <si>
    <t>MV</t>
  </si>
  <si>
    <t>~French Polynesia~Overseas Country of French Polynesia~Polynesia~Fr Polynesia~</t>
  </si>
  <si>
    <t>PF</t>
  </si>
  <si>
    <t>~Vanuatu~Republic of Vanuatu~</t>
  </si>
  <si>
    <t>VU</t>
  </si>
  <si>
    <t>~Samoa~Independent State of Samoa~Western Samoa~</t>
  </si>
  <si>
    <t>WS</t>
  </si>
  <si>
    <t>~Tanzania~United Republic of Tanzania~</t>
  </si>
  <si>
    <t>TZ</t>
  </si>
  <si>
    <t>TANZANIA</t>
  </si>
  <si>
    <t>~Tonga~Kingdom of Tonga~</t>
  </si>
  <si>
    <t>TO</t>
  </si>
  <si>
    <t>~Kiribati~Republic of Kiribati~</t>
  </si>
  <si>
    <t>KI</t>
  </si>
  <si>
    <t>~Palau~Republic of Palau~</t>
  </si>
  <si>
    <t>PW</t>
  </si>
  <si>
    <t>~Togo~Republic of Togo~Togolese Republic~</t>
  </si>
  <si>
    <t>TG</t>
  </si>
  <si>
    <t>TOGO</t>
  </si>
  <si>
    <t>~Puerto Rico~Commonwealth of Puerto Rico~</t>
  </si>
  <si>
    <t>PR</t>
  </si>
  <si>
    <t>OTHERLATIN</t>
  </si>
  <si>
    <t>The Bahamas</t>
  </si>
  <si>
    <t>~Bahama~Bahamas~The Bahamas~The Bahama~Commonwealth of The Bahamas~Bahamas, The~Bahamas,  The~</t>
  </si>
  <si>
    <t>BS</t>
  </si>
  <si>
    <t>~Guyana~Co-operative Republic of Guyana~MGUYANA~</t>
  </si>
  <si>
    <t>GY</t>
  </si>
  <si>
    <t>~Barbados~</t>
  </si>
  <si>
    <t>BB</t>
  </si>
  <si>
    <t>~Belize~</t>
  </si>
  <si>
    <t>BZ</t>
  </si>
  <si>
    <t>~American Samoa~Amer Samoa~</t>
  </si>
  <si>
    <t>AS</t>
  </si>
  <si>
    <t>~Andorra~Principality of Andorra~</t>
  </si>
  <si>
    <t>AD</t>
  </si>
  <si>
    <t>~Anguilla~</t>
  </si>
  <si>
    <t>AI</t>
  </si>
  <si>
    <t>St. Lucia</t>
  </si>
  <si>
    <t>~Saint Lucia~St. Lucia~St Lucia~</t>
  </si>
  <si>
    <t>LC</t>
  </si>
  <si>
    <t>SH</t>
  </si>
  <si>
    <t>St. Vincent and the Grenadines</t>
  </si>
  <si>
    <t>~St. Vincent and the Grenadines~Saint Vincent and the Grenadines ~ST VINCENT &amp; GRENADINES~Saint Vincent and the Grenadines~Saint Vincent/Grenadines~</t>
  </si>
  <si>
    <t>VC</t>
  </si>
  <si>
    <t>british virgin islands</t>
  </si>
  <si>
    <t>~british virgin islands~Virgin Islands, British~</t>
  </si>
  <si>
    <t>VG</t>
  </si>
  <si>
    <t>~Aruba~</t>
  </si>
  <si>
    <t>AW</t>
  </si>
  <si>
    <t>Channel Islands</t>
  </si>
  <si>
    <t>~Channel Islands~</t>
  </si>
  <si>
    <t>JG</t>
  </si>
  <si>
    <t>~Cook Islands~Cook Is~</t>
  </si>
  <si>
    <t>CK</t>
  </si>
  <si>
    <t>Dem. People^s Rep. Korea</t>
  </si>
  <si>
    <t>~Democratic People's Republic of Korea~North Korea~Dem. People's Rep. Korea~Dem. People's Rep. of Korea~Dem. People's Republic of Korea~Korea, Dem. People’s Rep.~Dem. People^s Rep. Korea~KOREADPR~Korea, North~Korea DPR~</t>
  </si>
  <si>
    <t>KP</t>
  </si>
  <si>
    <t>KOREADPR</t>
  </si>
  <si>
    <t>~Tunisia~Republic of Tunisia~Tunisian Republic~</t>
  </si>
  <si>
    <t>TN</t>
  </si>
  <si>
    <t>TUNISIA</t>
  </si>
  <si>
    <t>~Antigua and Barbuda~ANTIGUA &amp; BARBUDA~Antigua Barb~</t>
  </si>
  <si>
    <t>AG</t>
  </si>
  <si>
    <t>Falkland Islands</t>
  </si>
  <si>
    <t>~Malvinas~Falkland Islands~Islas Malvinas~Falkland Islands (Malvinas)~</t>
  </si>
  <si>
    <t>FK</t>
  </si>
  <si>
    <t>Faroe Islands</t>
  </si>
  <si>
    <t>~Faroe Islands~Faeroe Islands~</t>
  </si>
  <si>
    <t>FO</t>
  </si>
  <si>
    <t>~Overseas Region of Guiana~French Guiana~Fr Guiana~</t>
  </si>
  <si>
    <t>GF</t>
  </si>
  <si>
    <t>~Gibraltar~</t>
  </si>
  <si>
    <t>GI</t>
  </si>
  <si>
    <t>GIBRALTAR</t>
  </si>
  <si>
    <t>~Greenland~</t>
  </si>
  <si>
    <t>GL</t>
  </si>
  <si>
    <t>~Bermudas~The Bermudas~The Bermudas Islands~BERMUDA~Bermuda~</t>
  </si>
  <si>
    <t>BM</t>
  </si>
  <si>
    <t>~Guadeloupe~Guadeloupe and Martinique~Martinique and Guadeloupe~</t>
  </si>
  <si>
    <t>GP</t>
  </si>
  <si>
    <t>~Guam~Territory of Guam~</t>
  </si>
  <si>
    <t>GU</t>
  </si>
  <si>
    <t>~Isle of Man~</t>
  </si>
  <si>
    <t>IM</t>
  </si>
  <si>
    <t>KY</t>
  </si>
  <si>
    <t>~Cayman Islands~Cayman Is~</t>
  </si>
  <si>
    <t>~Kosovo~Republic of Kosovo~UNK~Kosovo*~</t>
  </si>
  <si>
    <t>XK</t>
  </si>
  <si>
    <t>KOSOVO</t>
  </si>
  <si>
    <t>~Liechtenstein~Principality of Liechtenstein~</t>
  </si>
  <si>
    <t>LI</t>
  </si>
  <si>
    <t>~Marshall Islands~Republic of the Marshall Islands~</t>
  </si>
  <si>
    <t>MH</t>
  </si>
  <si>
    <t>MARTINIQUE</t>
  </si>
  <si>
    <t>~MARTINIQUE~</t>
  </si>
  <si>
    <t>MQ</t>
  </si>
  <si>
    <t>~Dominica~Commonwealth of Dominica~</t>
  </si>
  <si>
    <t>DM</t>
  </si>
  <si>
    <t>Micronesia</t>
  </si>
  <si>
    <t>~Micronesia~Federated States of Micronesia~Micronesia (Fed. States of)~</t>
  </si>
  <si>
    <t>FM</t>
  </si>
  <si>
    <t>MS</t>
  </si>
  <si>
    <t>~Monaco~Principality of Monaco~</t>
  </si>
  <si>
    <t>MC</t>
  </si>
  <si>
    <t>~Montserrat~Monserrat~</t>
  </si>
  <si>
    <t>~Nauru~Republic of Nauru~</t>
  </si>
  <si>
    <t>NR</t>
  </si>
  <si>
    <t>Netherlands Antilles</t>
  </si>
  <si>
    <t>~Netherlands Antilles~</t>
  </si>
  <si>
    <t>AN</t>
  </si>
  <si>
    <t>~Niue~</t>
  </si>
  <si>
    <t>NU</t>
  </si>
  <si>
    <t>~Mariana Islands~Northern Mariana Islands~Commonwealth of The Northern Mariana Islands~NORTHERN MARIANAS~</t>
  </si>
  <si>
    <t>MP</t>
  </si>
  <si>
    <t>~Grenada~Grenada and Carriacuou~</t>
  </si>
  <si>
    <t>GD</t>
  </si>
  <si>
    <t>REUNION</t>
  </si>
  <si>
    <t>~REUNION~Réunion~</t>
  </si>
  <si>
    <t>RE</t>
  </si>
  <si>
    <t>~Romania~ROU~ROM~</t>
  </si>
  <si>
    <t>RO</t>
  </si>
  <si>
    <t>ROMANIA</t>
  </si>
  <si>
    <t>~San Marino~Republic of San Marino~</t>
  </si>
  <si>
    <t>SM</t>
  </si>
  <si>
    <t>~Zambia~Republic of Zambia~Northern Rhodesia~</t>
  </si>
  <si>
    <t>ZM</t>
  </si>
  <si>
    <t>ZAMBIA</t>
  </si>
  <si>
    <t>~Sint Maarten~Sint Maarten (Dutch part)~</t>
  </si>
  <si>
    <t>SX</t>
  </si>
  <si>
    <t>~Zimbabwe~Republic of Zimbabwe~</t>
  </si>
  <si>
    <t>ZW</t>
  </si>
  <si>
    <t>ZIMBABWE</t>
  </si>
  <si>
    <t>St. Helena</t>
  </si>
  <si>
    <t>~St. Helena~Saint Helena~Helena Administrative Area~ST HELENA~SHN~</t>
  </si>
  <si>
    <t>St. Kitts and Nevis</t>
  </si>
  <si>
    <t>~St. Kitts and Nevis~Saint Kitts and Nevis ~ST KITTS &amp; NEVIS~Saint Kitts and Nevis~Saint Kitts &amp; Nevis~</t>
  </si>
  <si>
    <t>KN</t>
  </si>
  <si>
    <t>St. Pierre &amp; Miquelon</t>
  </si>
  <si>
    <t>~St. Pierre &amp; Miquelon~Saint Pierre and Miquelon~St. Pierre and Miquelon~St. Pierre &amp; Miquelon~ST PIERRE &amp; MIQUELON~</t>
  </si>
  <si>
    <t>PM</t>
  </si>
  <si>
    <t>~Timor-Leste~Democratic Republic of Timor-Leste~East Timor~TIMOR LESTE~Timor-Leste (East Timor)~TLS~</t>
  </si>
  <si>
    <t>TL</t>
  </si>
  <si>
    <t>~Tokelau~</t>
  </si>
  <si>
    <t>TK</t>
  </si>
  <si>
    <t>~Turks &amp; Caicos Islands~Turks and Caicos Islands~TURKS &amp; CAICOS~</t>
  </si>
  <si>
    <t>TC</t>
  </si>
  <si>
    <t>~Tuvalu~</t>
  </si>
  <si>
    <t>TV</t>
  </si>
  <si>
    <t>Vatican</t>
  </si>
  <si>
    <t>~Vatican~Vatican City State (Holy See)~</t>
  </si>
  <si>
    <t>VA</t>
  </si>
  <si>
    <t>Virgin Islands</t>
  </si>
  <si>
    <t>~Virgin Islands~Virgin Islands of the United States~Virgin Islands(US)~Virgin Islands(U.S.A)~Virgin Islands,  U.S.~Virgin Islands, U.S.~United States Virgin Islands~US Virgin Is~</t>
  </si>
  <si>
    <t>VI</t>
  </si>
  <si>
    <t>Wallis and Futuna</t>
  </si>
  <si>
    <t>~Wallis and Futuna~Collectivity of the Wallis and Futuna Islands~WALLIS &amp; FUTUNA~Wallis and Futuna Islands~</t>
  </si>
  <si>
    <t>~Western Sahara~Spanish Sahara~</t>
  </si>
  <si>
    <t>EH</t>
  </si>
  <si>
    <t>country</t>
  </si>
  <si>
    <t>hour</t>
  </si>
  <si>
    <t>com_fr</t>
  </si>
  <si>
    <t>pv</t>
  </si>
  <si>
    <t>elec_co2</t>
  </si>
  <si>
    <t>ej_to_mtco2</t>
  </si>
  <si>
    <t>tech</t>
  </si>
  <si>
    <t>Bioenergy + CCUS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</si>
  <si>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</si>
  <si>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</si>
  <si>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</si>
  <si>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</si>
  <si>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</si>
  <si>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</si>
  <si>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</si>
  <si>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</si>
  <si>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</si>
  <si>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</si>
  <si>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</si>
  <si>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</si>
  <si>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</si>
  <si>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</si>
  <si>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</si>
  <si>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>EN_STG8hbNREL</t>
  </si>
  <si>
    <t>EN_STG4hbNREL</t>
  </si>
  <si>
    <t>_include</t>
  </si>
  <si>
    <t>y</t>
  </si>
  <si>
    <t>n</t>
  </si>
  <si>
    <t>e_demand</t>
  </si>
  <si>
    <t>ev_battery</t>
  </si>
  <si>
    <t>description</t>
  </si>
  <si>
    <t>sourcevalue</t>
  </si>
  <si>
    <t>month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</si>
  <si>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</si>
  <si>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</si>
  <si>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</si>
  <si>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</si>
  <si>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</si>
  <si>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</si>
  <si>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</si>
  <si>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</si>
  <si>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</si>
  <si>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ts_annual</t>
  </si>
  <si>
    <t>AllS</t>
  </si>
  <si>
    <t>AllH</t>
  </si>
  <si>
    <t>W</t>
  </si>
  <si>
    <t>R</t>
  </si>
  <si>
    <t>S</t>
  </si>
  <si>
    <t>F</t>
  </si>
  <si>
    <t>N</t>
  </si>
  <si>
    <t>D</t>
  </si>
  <si>
    <t>P</t>
  </si>
  <si>
    <t>adv</t>
  </si>
  <si>
    <t>name</t>
  </si>
  <si>
    <t>days_scarcity</t>
  </si>
  <si>
    <t>days_volatility</t>
  </si>
  <si>
    <t>days_surplus</t>
  </si>
  <si>
    <t>weeks_scarcity</t>
  </si>
  <si>
    <t>weeks_surplus</t>
  </si>
  <si>
    <t>weeks_volatility</t>
  </si>
  <si>
    <t>num_aggregated_ts</t>
  </si>
  <si>
    <t>s1p1v1_d</t>
  </si>
  <si>
    <t>s3p3v3_d</t>
  </si>
  <si>
    <t>s2_w</t>
  </si>
  <si>
    <t>s2_w_p2_d</t>
  </si>
  <si>
    <t>create_plot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</si>
  <si>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</si>
  <si>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</si>
  <si>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</si>
  <si>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</si>
  <si>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</si>
  <si>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</si>
  <si>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</si>
  <si>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</si>
  <si>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Methodology Notes</t>
  </si>
  <si>
    <t>Hydro Estimates</t>
  </si>
  <si>
    <t>Key constraints:</t>
  </si>
  <si>
    <t>Geographic/topographic limitations (requires rivers, elevation)</t>
  </si>
  <si>
    <t>Most viable sites in developed countries already exploited</t>
  </si>
  <si>
    <t>Long construction times (5-10 years) limit annual additions</t>
  </si>
  <si>
    <t>Environmental concerns increasingly limit new projects</t>
  </si>
  <si>
    <t>Methodology:</t>
  </si>
  <si>
    <t>Large hydro potential countries (China, Brazil, India): 2-15 GW/year based on ongoing projects</t>
  </si>
  <si>
    <t>Mountain/river-rich countries: 0.2-2 GW/year depending on size</t>
  </si>
  <si>
    <t>Flat/arid countries: 0-0.1 GW/year (mostly small hydro)</t>
  </si>
  <si>
    <t>Developed countries: minimal (0-0.5 GW/year) as most sites already developed</t>
  </si>
  <si>
    <t>Nuclear Estimates</t>
  </si>
  <si>
    <t>Very long construction times (5-15 years)</t>
  </si>
  <si>
    <t>Massive capital requirements ($5-10B per GW)</t>
  </si>
  <si>
    <t>Limited number of reactor vendors globally</t>
  </si>
  <si>
    <t>Political/social acceptance varies widely</t>
  </si>
  <si>
    <t>Regulatory and safety requirements</t>
  </si>
  <si>
    <r>
      <t>Active nuclear programs</t>
    </r>
    <r>
      <rPr>
        <sz val="12"/>
        <color theme="1"/>
        <rFont val="Calibri"/>
        <family val="2"/>
        <scheme val="minor"/>
      </rPr>
      <t xml:space="preserve"> (China, India, Russia, Korea, France): 1-15 GW/year</t>
    </r>
  </si>
  <si>
    <r>
      <t>Restarting programs</t>
    </r>
    <r>
      <rPr>
        <sz val="12"/>
        <color theme="1"/>
        <rFont val="Calibri"/>
        <family val="2"/>
        <scheme val="minor"/>
      </rPr>
      <t xml:space="preserve"> (USA, UK, Japan, Poland): 0.5-3 GW/year</t>
    </r>
  </si>
  <si>
    <r>
      <t>New nuclear ambitions</t>
    </r>
    <r>
      <rPr>
        <sz val="12"/>
        <color theme="1"/>
        <rFont val="Calibri"/>
        <family val="2"/>
        <scheme val="minor"/>
      </rPr>
      <t xml:space="preserve"> (Saudi Arabia, UAE, Turkey): 0.5-4 GW/year</t>
    </r>
  </si>
  <si>
    <r>
      <t>Nuclear phase-out countries</t>
    </r>
    <r>
      <rPr>
        <sz val="12"/>
        <color theme="1"/>
        <rFont val="Calibri"/>
        <family val="2"/>
        <scheme val="minor"/>
      </rPr>
      <t xml:space="preserve"> (Germany, Belgium, Switzerland): 0 GW/year</t>
    </r>
  </si>
  <si>
    <r>
      <t>No nuclear capability</t>
    </r>
    <r>
      <rPr>
        <sz val="12"/>
        <color theme="1"/>
        <rFont val="Calibri"/>
        <family val="2"/>
        <scheme val="minor"/>
      </rPr>
      <t>: 0 GW/year for most developing nations</t>
    </r>
  </si>
  <si>
    <t>Reality checks applied:</t>
  </si>
  <si>
    <t>China currently leads with ~5-10 GW/year actual deployment</t>
  </si>
  <si>
    <t>Global total nuclear additions rarely exceed 10 GW/year</t>
  </si>
  <si>
    <t>Small countries limited to 1-2 reactors under construction simultaneously</t>
  </si>
  <si>
    <t>Optimistic scenario assumes SMRs become viable, reducing construction times</t>
  </si>
  <si>
    <t>Important Notes</t>
  </si>
  <si>
    <t>Hydro and nuclear have much longer lead times than solar/wind</t>
  </si>
  <si>
    <t>These estimates assume projects already in planning/construction phase</t>
  </si>
  <si>
    <t>Nuclear especially requires existing regulatory framework and expertise</t>
  </si>
  <si>
    <t>Both are highly capital-intensive compared to solar/wind</t>
  </si>
  <si>
    <t>Environmental and social acceptance increasingly important factors</t>
  </si>
  <si>
    <t>Solar ranges:</t>
  </si>
  <si>
    <t>Low: Conservative estimate based on GDP method (0.5-1 GW per trillion USD) or population method (1 GW per 10M people)</t>
  </si>
  <si>
    <t>High: Optimistic estimate using upper bounds (1.5-2 GW per trillion USD) or population × 2 for high electrification</t>
  </si>
  <si>
    <t>Wind ranges:</t>
  </si>
  <si>
    <t>Low: Conservative estimate (0.3-0.8 GW per trillion USD) or population method (0.5 GW per 10M people)</t>
  </si>
  <si>
    <t>High: Optimistic estimate (1.2-1.5 GW per trillion USD) or population × 2</t>
  </si>
  <si>
    <t>Regional adjustments applied:</t>
  </si>
  <si>
    <t>High solar resource countries (MENA, Australia, India): +20-30% on solar</t>
  </si>
  <si>
    <t>High wind resource countries (Northern Europe, Canada): +20-30% on wind</t>
  </si>
  <si>
    <t>Island/space-constrained nations: reduced estimates</t>
  </si>
  <si>
    <t>Countries with proven track records: validated against historical peaks</t>
  </si>
  <si>
    <t>Caps applied:</t>
  </si>
  <si>
    <t>No country exceeds China's demonstrated capacity (100 GW/year solar, 60 GW/year wind)</t>
  </si>
  <si>
    <t>Small countries (&lt;10M population) capped at 2 GW/year solar, 1 GW/year wind</t>
  </si>
  <si>
    <t>Considered grid integration limits and manufacturing constraints</t>
  </si>
  <si>
    <t>num_aggregated_hours</t>
  </si>
  <si>
    <t>num_aggregated_months</t>
  </si>
  <si>
    <t>hydrogen_allsect</t>
  </si>
  <si>
    <t>H2prd_Elc_PEM</t>
  </si>
  <si>
    <t>H2prd_Elc_ALK</t>
  </si>
  <si>
    <t>s5p5v5_d</t>
  </si>
  <si>
    <t>R10AFRICA</t>
  </si>
  <si>
    <t>ATF</t>
  </si>
  <si>
    <t>IOT</t>
  </si>
  <si>
    <t>R10CHINA+</t>
  </si>
  <si>
    <t>ALA</t>
  </si>
  <si>
    <t>R10EUROPE</t>
  </si>
  <si>
    <t>GGY</t>
  </si>
  <si>
    <t>JEY</t>
  </si>
  <si>
    <t>SJM</t>
  </si>
  <si>
    <t>R10INDIA+</t>
  </si>
  <si>
    <t>R10LATIN_AM</t>
  </si>
  <si>
    <t>BES</t>
  </si>
  <si>
    <t>BLM</t>
  </si>
  <si>
    <t>BVT</t>
  </si>
  <si>
    <t>CUW</t>
  </si>
  <si>
    <t>MAF</t>
  </si>
  <si>
    <t>SGS</t>
  </si>
  <si>
    <t>SXM</t>
  </si>
  <si>
    <t>R10MIDDLE_EAST</t>
  </si>
  <si>
    <t>R10NORTH_AM</t>
  </si>
  <si>
    <t>R10PAC_OECD</t>
  </si>
  <si>
    <t>CCK</t>
  </si>
  <si>
    <t>CXR</t>
  </si>
  <si>
    <t>HMD</t>
  </si>
  <si>
    <t>NFK</t>
  </si>
  <si>
    <t>R10REF_ECON</t>
  </si>
  <si>
    <t>R10REST_ASIA</t>
  </si>
  <si>
    <t>PCN</t>
  </si>
  <si>
    <t>UMI</t>
  </si>
  <si>
    <t>iso3</t>
  </si>
  <si>
    <t>r10_region</t>
  </si>
  <si>
    <t>Key References and Data Sources</t>
  </si>
  <si>
    <t>Primary Data Sources</t>
  </si>
  <si>
    <r>
      <t>European Commission</t>
    </r>
    <r>
      <rPr>
        <sz val="12"/>
        <color theme="1"/>
        <rFont val="Calibri"/>
        <family val="2"/>
        <scheme val="minor"/>
      </rPr>
      <t>: Weekly Oil Bulletin, EU Energy Markets Observatory</t>
    </r>
  </si>
  <si>
    <r>
      <t>CME Group/NYMEX</t>
    </r>
    <r>
      <rPr>
        <sz val="12"/>
        <color theme="1"/>
        <rFont val="Calibri"/>
        <family val="2"/>
        <scheme val="minor"/>
      </rPr>
      <t>: Natural gas futures (Henry Hub), coal futures (Central Appalachian)</t>
    </r>
  </si>
  <si>
    <r>
      <t>ICE</t>
    </r>
    <r>
      <rPr>
        <sz val="12"/>
        <color theme="1"/>
        <rFont val="Calibri"/>
        <family val="2"/>
        <scheme val="minor"/>
      </rPr>
      <t>: TTF gas futures, API2 coal futures, Brent crude futures</t>
    </r>
  </si>
  <si>
    <r>
      <t>S&amp;P Global Platts</t>
    </r>
    <r>
      <rPr>
        <sz val="12"/>
        <color theme="1"/>
        <rFont val="Calibri"/>
        <family val="2"/>
        <scheme val="minor"/>
      </rPr>
      <t>: Regional gas hubs, coal markers, oil product prices</t>
    </r>
  </si>
  <si>
    <t>Regional Price Benchmarks (2025 Averages)</t>
  </si>
  <si>
    <t>Conversion Factors</t>
  </si>
  <si>
    <t>Natural Gas: 1 MMBtu = 0.293076 MWh (thermal)</t>
  </si>
  <si>
    <t>Coal: 1 short ton Central App ≈ 22 MMBtu ≈ 6.45 MWh (thermal)</t>
  </si>
  <si>
    <t>Oil: 1 barrel fuel oil ≈ 5.8 MMBtu ≈ 1.70 MWh (thermal)</t>
  </si>
  <si>
    <t>Prices represent delivered cost to power plants including transportation</t>
  </si>
  <si>
    <t>All prices in USD per MWh of thermal energy input (not electrical output)</t>
  </si>
  <si>
    <t>gas_low</t>
  </si>
  <si>
    <t>gas_high</t>
  </si>
  <si>
    <t>coal_low</t>
  </si>
  <si>
    <t>coal_high</t>
  </si>
  <si>
    <t>oil_low</t>
  </si>
  <si>
    <t>oil_high</t>
  </si>
  <si>
    <t xml:space="preserve"> Notes </t>
  </si>
  <si>
    <t>bioenergy_low</t>
  </si>
  <si>
    <t>bioenergy_high</t>
  </si>
  <si>
    <t>Biomass prices vary significantly by feedstock type: wood pellets (highest), agricultural residues (medium), waste biomass (lowest)</t>
  </si>
  <si>
    <t>windoff</t>
  </si>
  <si>
    <t>windon</t>
  </si>
  <si>
    <t>grid_modeling</t>
  </si>
  <si>
    <t>Shale gas revolution, coal declining</t>
  </si>
  <si>
    <t>LNG imports expensive, domestic coal cheap</t>
  </si>
  <si>
    <t>TTF gas hub, imported coal via ARA</t>
  </si>
  <si>
    <t>LNG dependent, imports pellets for co-firing</t>
  </si>
  <si>
    <t>Expensive LNG imports, cheap domestic coal</t>
  </si>
  <si>
    <t>NBP gas hub, Drax biomass plants</t>
  </si>
  <si>
    <t>TTF-linked, forest resources</t>
  </si>
  <si>
    <t>Pipeline gas, Mediterranean pellet imports</t>
  </si>
  <si>
    <t>Cheap shale gas, coal less competitive</t>
  </si>
  <si>
    <t>LNG dependent, pellet imports for RPS</t>
  </si>
  <si>
    <t>Major producer, large forest resources</t>
  </si>
  <si>
    <t>Iberian market, olive &amp; agricultural waste</t>
  </si>
  <si>
    <t>US pipeline gas, agricultural residues</t>
  </si>
  <si>
    <t>TTF hub, major pellet importer</t>
  </si>
  <si>
    <t>Subsidized gas, minimal biomass</t>
  </si>
  <si>
    <t>Agricultural residues available</t>
  </si>
  <si>
    <t>European pricing, forest resources</t>
  </si>
  <si>
    <t>Pipeline gas, coal &amp; forest resources</t>
  </si>
  <si>
    <t>Zeebrugge LNG, pellet imports</t>
  </si>
  <si>
    <t>Nordic pricing, strong forestry sector</t>
  </si>
  <si>
    <t>UK gas market, limited biomass</t>
  </si>
  <si>
    <t>Vaca Muerta gas, agricultural residues</t>
  </si>
  <si>
    <t>Central European pricing, forest resources</t>
  </si>
  <si>
    <t>Abundant gas, minimal biomass</t>
  </si>
  <si>
    <t>Zohr gas field, agricultural residues</t>
  </si>
  <si>
    <t>Limited gas, abundant cheap coal</t>
  </si>
  <si>
    <t>Domestic gas, coffee &amp; sugar residues</t>
  </si>
  <si>
    <t>Rice husk abundant</t>
  </si>
  <si>
    <t>LNG dependent, forest resources</t>
  </si>
  <si>
    <t>Baltic pipe, strong forestry sector</t>
  </si>
  <si>
    <t>Sines LNG, eucalyptus plantations</t>
  </si>
  <si>
    <t>Major oil/gas, minimal biomass</t>
  </si>
  <si>
    <t>LNG exporter, minimal biomass</t>
  </si>
  <si>
    <t>Gas exporter, limited biomass</t>
  </si>
  <si>
    <t>TurkStream, agricultural residues</t>
  </si>
  <si>
    <t>Fossil producer, wheat straw available</t>
  </si>
  <si>
    <t>Limited gas, agricultural residues</t>
  </si>
  <si>
    <t>Oil producer, minimal biomass</t>
  </si>
  <si>
    <t>LNG imports, olive residues</t>
  </si>
  <si>
    <t>Transit country, forest resources</t>
  </si>
  <si>
    <t>Some domestic gas, agricultural waste</t>
  </si>
  <si>
    <t>Geothermal, agricultural residues</t>
  </si>
  <si>
    <t>Oil exporter, limited biomass</t>
  </si>
  <si>
    <t>LNG imports, sugarcane bagasse</t>
  </si>
  <si>
    <t>Import dependent, coconut residues</t>
  </si>
  <si>
    <t>Regional market, sugar residues</t>
  </si>
  <si>
    <t>Gas producer, minimal biomass</t>
  </si>
  <si>
    <t>TurkStream, forest &amp; agricultural mix</t>
  </si>
  <si>
    <t>Oil/gas reserves, limited biomass use</t>
  </si>
  <si>
    <t>Algeria pipeline, olive residues</t>
  </si>
  <si>
    <t>Offshore gas, agricultural residues</t>
  </si>
  <si>
    <t>LNG imports, limited biomass</t>
  </si>
  <si>
    <t>Renewable-focused, coffee residues</t>
  </si>
  <si>
    <t>Gas producer, cotton stalks</t>
  </si>
  <si>
    <t>Krk LNG, forest resources</t>
  </si>
  <si>
    <t>LNG regasification, forest residues</t>
  </si>
  <si>
    <t>Energy crisis, limited biomass</t>
  </si>
  <si>
    <t>West African gas, cocoa residues</t>
  </si>
  <si>
    <t>Klaipeda LNG, forest resources</t>
  </si>
  <si>
    <t>Central European, forest resources</t>
  </si>
  <si>
    <t>Kribi gas, agricultural residues</t>
  </si>
  <si>
    <t>Domestic gas, agricultural residues</t>
  </si>
  <si>
    <t>Domestic gas, rice husk abundant</t>
  </si>
  <si>
    <t>Hydro-dominant, soy residues</t>
  </si>
  <si>
    <t>Oil discoveries, agricultural waste</t>
  </si>
  <si>
    <t>Oil/gas producer, minimal biomass</t>
  </si>
  <si>
    <t>LNG via Aqaba, limited biomass</t>
  </si>
  <si>
    <t>Domestic gas, minimal biomass</t>
  </si>
  <si>
    <t>Shah Deniz gas, limited biomass</t>
  </si>
  <si>
    <t>Russian gas, forest resources</t>
  </si>
  <si>
    <t>Coal resources, agricultural residues</t>
  </si>
  <si>
    <t>Greater Tortue gas, groundnut shells</t>
  </si>
  <si>
    <t>Baltic market, forest resources</t>
  </si>
  <si>
    <t>Import dependent, agricultural waste</t>
  </si>
  <si>
    <t>Heavy fuel oil, agricultural residues</t>
  </si>
  <si>
    <t>LNG plans, rice husk abundant</t>
  </si>
  <si>
    <t>Island premium, limited biomass</t>
  </si>
  <si>
    <t>Hydro-dominant, agricultural residues</t>
  </si>
  <si>
    <r>
      <t>Argus Media</t>
    </r>
    <r>
      <rPr>
        <sz val="12"/>
        <color theme="1"/>
        <rFont val="Calibri"/>
        <family val="2"/>
        <scheme val="minor"/>
      </rPr>
      <t>: Global LNG prices, Asian spot LNG (JKM), coal price assessments, biomass pellet indices</t>
    </r>
  </si>
  <si>
    <t>Pre-salt gas growing, sugarcane bagasse</t>
  </si>
  <si>
    <r>
      <t>U.S. Energy Information Administration (EIA)</t>
    </r>
    <r>
      <rPr>
        <sz val="12"/>
        <color theme="1"/>
        <rFont val="Calibri"/>
        <family val="2"/>
        <scheme val="minor"/>
      </rPr>
      <t>: Henry Hub natural gas spot prices, Central Appalachian coal prices, Short-Term Energy Outlook (August 2025), wood pellet prices</t>
    </r>
  </si>
  <si>
    <r>
      <t>International Energy Agency (IEA)</t>
    </r>
    <r>
      <rPr>
        <sz val="12"/>
        <color theme="1"/>
        <rFont val="Calibri"/>
        <family val="2"/>
        <scheme val="minor"/>
      </rPr>
      <t>: Energy Prices Database, Gas Market Report Q3-2025</t>
    </r>
  </si>
  <si>
    <r>
      <t>Natural Gas</t>
    </r>
    <r>
      <rPr>
        <sz val="12"/>
        <color theme="1"/>
        <rFont val="Calibri"/>
        <family val="2"/>
        <scheme val="minor"/>
      </rPr>
      <t>: Henry Hub $2.50-4.20/MMBtu; TTF €25-35/MWh; JKM $10-14/MMBtu</t>
    </r>
  </si>
  <si>
    <r>
      <t>Coal</t>
    </r>
    <r>
      <rPr>
        <sz val="12"/>
        <color theme="1"/>
        <rFont val="Calibri"/>
        <family val="2"/>
        <scheme val="minor"/>
      </rPr>
      <t>: Central Appalachian $70-80/ton; API2 (ARA) $90-110/ton; Newcastle $120-150/ton</t>
    </r>
  </si>
  <si>
    <r>
      <t>Oil</t>
    </r>
    <r>
      <rPr>
        <sz val="12"/>
        <color theme="1"/>
        <rFont val="Calibri"/>
        <family val="2"/>
        <scheme val="minor"/>
      </rPr>
      <t>: Brent $75-85/barrel; WTI $70-80/barrel</t>
    </r>
  </si>
  <si>
    <r>
      <t>Biomass</t>
    </r>
    <r>
      <rPr>
        <sz val="12"/>
        <color theme="1"/>
        <rFont val="Calibri"/>
        <family val="2"/>
        <scheme val="minor"/>
      </rPr>
      <t>: US pellets $180-230/ton; EU pellets €180-250/ton; Asian pellets $150-200/ton; Agricultural residues $40-80/ton</t>
    </r>
  </si>
  <si>
    <t>Biomass: 1 ton wood pellets (15% moisture) ≈ 4.5 MWh (thermal); 1 ton agricultural residues ≈ 3.5-4.0 MWh (thermal)</t>
  </si>
  <si>
    <t>Ranges reflect seasonal variations, contract vs spot pricing, and peak/off-peak periods</t>
  </si>
  <si>
    <t>Countries with "-" have negligible use of that fuel for power generation</t>
  </si>
  <si>
    <t>Major LNG exporter, cheap domestic coal</t>
  </si>
  <si>
    <t>Some domestic gas, major coal exporter</t>
  </si>
  <si>
    <t>Major oil/gas producer, limited coal</t>
  </si>
  <si>
    <t>Eastern Med gas developing, imports coal</t>
  </si>
  <si>
    <t>North Sea gas declining, straw biomass</t>
  </si>
  <si>
    <t>LNG hub, imports all fuels</t>
  </si>
  <si>
    <t>Domestic gas production, palm residues</t>
  </si>
  <si>
    <t>Malampaya declining, imports rising</t>
  </si>
  <si>
    <t>Some domestic gas, Thar coal developing</t>
  </si>
  <si>
    <t>Offshore gas, major coal producer</t>
  </si>
  <si>
    <t>Domestic gas production, lignite</t>
  </si>
  <si>
    <t>Pipeline gas, domestic lignite</t>
  </si>
  <si>
    <t>Camisea gas field, limited coal</t>
  </si>
  <si>
    <t>TAP pipeline, lignite declining</t>
  </si>
  <si>
    <t>Domestic gas fields, phasing out coal</t>
  </si>
  <si>
    <t>P50</t>
  </si>
  <si>
    <t>P10</t>
  </si>
  <si>
    <t>P90</t>
  </si>
  <si>
    <t>hydro_af</t>
  </si>
  <si>
    <t>total_ts</t>
  </si>
  <si>
    <t>ts_12t</t>
  </si>
  <si>
    <t>create_plot_clu</t>
  </si>
  <si>
    <t>Type_mod</t>
  </si>
  <si>
    <t>Offshore mount unknown</t>
  </si>
  <si>
    <t>status</t>
  </si>
  <si>
    <t>retired</t>
  </si>
  <si>
    <t>cancelled</t>
  </si>
  <si>
    <t>cancelled - inferred 4 y</t>
  </si>
  <si>
    <t>shelved</t>
  </si>
  <si>
    <t>shelved - inferred 2 y</t>
  </si>
  <si>
    <t>ep_</t>
  </si>
  <si>
    <t>ep_m_</t>
  </si>
  <si>
    <t>en_pc_</t>
  </si>
  <si>
    <t>xx</t>
  </si>
  <si>
    <t>en_a_</t>
  </si>
  <si>
    <t>en_can_</t>
  </si>
  <si>
    <t>en_she_</t>
  </si>
  <si>
    <t>default_year</t>
  </si>
  <si>
    <t>XKX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</si>
</sst>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0" applyNumberFormat="0" applyFont="0" applyAlignment="0" applyProtection="0"/>
    <xf numFmtId="0" fontId="23" fillId="0" borderId="0"/>
    <xf numFmtId="0" fontId="22" fillId="34" borderId="0" applyNumberFormat="0" applyBorder="0" applyAlignment="0" applyProtection="0"/>
  </cellStyleXfs>
  <cellXfs count="21">
    <xf numFmtId="0" fontId="0" fillId="0" borderId="0" xfId="0"/>
    <xf numFmtId="1" fontId="0" fillId="0" borderId="0" xfId="0" applyNumberFormat="1"/>
    <xf numFmtId="0" fontId="3" fillId="0" borderId="0" xfId="0" applyFont="1"/>
    <xf numFmtId="164" fontId="0" fillId="0" borderId="0" xfId="0" applyNumberFormat="1"/>
    <xf numFmtId="49" fontId="0" fillId="0" borderId="0" xfId="0" applyNumberFormat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quotePrefix="1"/>
    <xf numFmtId="0" fontId="9" fillId="0" borderId="5" xfId="5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/>
    <xf numFmtId="0" fontId="20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5" applyFill="1" applyBorder="1"/>
    <xf numFmtId="0" fontId="3" fillId="2" borderId="0" xfId="0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3 3 2" xfId="45" xr:uid="{88C3D928-CED8-4808-90A1-126732EC400D}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A9BB6603-8D39-4BE1-B498-A92A5330A496}"/>
    <cellStyle name="Normal 3" xfId="44" xr:uid="{5663A2B6-6272-4E56-B81F-A1AAF2F059C4}"/>
    <cellStyle name="Normal 4" xfId="42" xr:uid="{76508CC7-7567-401C-BB28-ADE0009D1C6A}"/>
    <cellStyle name="Note 2" xfId="43" xr:uid="{81756D86-DC53-4E93-B90A-6588B8D464B6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0B4-6A20-41A8-B49F-8BE8F9765326}">
  <dimension ref="A1:E28"/>
  <sheetViews>
    <sheetView workbookViewId="0"/>
  </sheetViews>
  <sheetFormatPr defaultRowHeight="15.75" x14ac:dyDescent="0.5"/>
  <cols>
    <col min="1" max="1" width="6.5" bestFit="1" customWidth="1"/>
    <col min="2" max="2" width="24.5" bestFit="1" customWidth="1"/>
    <col min="3" max="3" width="4.75" bestFit="1" customWidth="1"/>
    <col min="4" max="5" width="10.125" bestFit="1" customWidth="1"/>
  </cols>
  <sheetData>
    <row r="1" spans="1:5" x14ac:dyDescent="0.5">
      <c r="A1" t="s">
        <v>37</v>
      </c>
      <c r="B1" t="s">
        <v>0</v>
      </c>
      <c r="C1">
        <v>2023</v>
      </c>
      <c r="D1" s="2" t="s">
        <v>99</v>
      </c>
      <c r="E1" t="s">
        <v>100</v>
      </c>
    </row>
    <row r="2" spans="1:5" x14ac:dyDescent="0.5">
      <c r="A2" t="s">
        <v>1</v>
      </c>
      <c r="B2" t="s">
        <v>4</v>
      </c>
      <c r="C2" s="1">
        <v>128.12</v>
      </c>
      <c r="D2" t="s">
        <v>3</v>
      </c>
      <c r="E2" t="str">
        <f>D2</f>
        <v>bioenergy</v>
      </c>
    </row>
    <row r="3" spans="1:5" x14ac:dyDescent="0.5">
      <c r="A3" t="s">
        <v>1</v>
      </c>
      <c r="B3" t="s">
        <v>25</v>
      </c>
      <c r="C3" s="1">
        <v>18.96</v>
      </c>
      <c r="D3" t="s">
        <v>3</v>
      </c>
      <c r="E3" t="str">
        <f t="shared" ref="E3:E24" si="0">D3</f>
        <v>bioenergy</v>
      </c>
    </row>
    <row r="4" spans="1:5" x14ac:dyDescent="0.5">
      <c r="A4" t="s">
        <v>1</v>
      </c>
      <c r="B4" t="s">
        <v>7</v>
      </c>
      <c r="C4" s="1">
        <v>2126.9499999999994</v>
      </c>
      <c r="D4" t="s">
        <v>6</v>
      </c>
      <c r="E4" t="str">
        <f t="shared" si="0"/>
        <v>coal</v>
      </c>
    </row>
    <row r="5" spans="1:5" x14ac:dyDescent="0.5">
      <c r="A5" t="s">
        <v>1</v>
      </c>
      <c r="B5" t="s">
        <v>10</v>
      </c>
      <c r="C5" s="1">
        <v>1994.8199999999997</v>
      </c>
      <c r="D5" t="s">
        <v>1165</v>
      </c>
      <c r="E5" t="str">
        <f t="shared" si="0"/>
        <v>gas</v>
      </c>
    </row>
    <row r="6" spans="1:5" x14ac:dyDescent="0.5">
      <c r="A6" t="s">
        <v>1</v>
      </c>
      <c r="B6" t="s">
        <v>23</v>
      </c>
      <c r="C6" s="1">
        <v>287.40999999999985</v>
      </c>
      <c r="D6" t="s">
        <v>753</v>
      </c>
      <c r="E6" t="str">
        <f t="shared" si="0"/>
        <v>oil</v>
      </c>
    </row>
    <row r="7" spans="1:5" x14ac:dyDescent="0.5">
      <c r="A7" t="s">
        <v>1</v>
      </c>
      <c r="B7" t="s">
        <v>13</v>
      </c>
      <c r="C7" s="1">
        <v>1251.8399999999999</v>
      </c>
      <c r="D7" t="s">
        <v>36</v>
      </c>
      <c r="E7" t="str">
        <f t="shared" si="0"/>
        <v>hydro</v>
      </c>
    </row>
    <row r="8" spans="1:5" x14ac:dyDescent="0.5">
      <c r="A8" t="s">
        <v>1</v>
      </c>
      <c r="B8" t="s">
        <v>18</v>
      </c>
      <c r="C8" s="1">
        <v>385.7</v>
      </c>
      <c r="D8" t="s">
        <v>19</v>
      </c>
      <c r="E8" t="str">
        <f t="shared" si="0"/>
        <v>nuclear</v>
      </c>
    </row>
    <row r="9" spans="1:5" x14ac:dyDescent="0.5">
      <c r="A9" t="s">
        <v>1</v>
      </c>
      <c r="B9" t="s">
        <v>29</v>
      </c>
      <c r="C9" s="1">
        <v>1406.7799999999991</v>
      </c>
      <c r="D9" t="s">
        <v>30</v>
      </c>
      <c r="E9" t="str">
        <f t="shared" si="0"/>
        <v>solar</v>
      </c>
    </row>
    <row r="10" spans="1:5" x14ac:dyDescent="0.5">
      <c r="A10" t="s">
        <v>1</v>
      </c>
      <c r="B10" t="s">
        <v>34</v>
      </c>
      <c r="C10" s="1">
        <v>1014.1999999999998</v>
      </c>
      <c r="D10" t="s">
        <v>2293</v>
      </c>
      <c r="E10" t="str">
        <f t="shared" si="0"/>
        <v>windon</v>
      </c>
    </row>
    <row r="11" spans="1:5" x14ac:dyDescent="0.5">
      <c r="A11" t="s">
        <v>2</v>
      </c>
      <c r="B11" t="s">
        <v>5</v>
      </c>
      <c r="C11" s="1">
        <v>21.078878999999997</v>
      </c>
      <c r="D11" t="s">
        <v>3</v>
      </c>
      <c r="E11" t="str">
        <f t="shared" si="0"/>
        <v>bioenergy</v>
      </c>
    </row>
    <row r="12" spans="1:5" x14ac:dyDescent="0.5">
      <c r="A12" t="s">
        <v>2</v>
      </c>
      <c r="B12" t="s">
        <v>15</v>
      </c>
      <c r="C12" s="1">
        <v>1.9938290000000001</v>
      </c>
      <c r="D12" t="s">
        <v>3</v>
      </c>
      <c r="E12" t="str">
        <f t="shared" si="0"/>
        <v>bioenergy</v>
      </c>
    </row>
    <row r="13" spans="1:5" x14ac:dyDescent="0.5">
      <c r="A13" t="s">
        <v>2</v>
      </c>
      <c r="B13" t="s">
        <v>28</v>
      </c>
      <c r="C13" s="1">
        <v>21.237416999999997</v>
      </c>
      <c r="D13" t="s">
        <v>3</v>
      </c>
      <c r="E13" t="str">
        <f t="shared" si="0"/>
        <v>bioenergy</v>
      </c>
    </row>
    <row r="14" spans="1:5" x14ac:dyDescent="0.5">
      <c r="A14" t="s">
        <v>2</v>
      </c>
      <c r="B14" t="s">
        <v>33</v>
      </c>
      <c r="C14" s="1">
        <v>101.83473499999999</v>
      </c>
      <c r="D14" t="s">
        <v>3</v>
      </c>
      <c r="E14" t="str">
        <f t="shared" si="0"/>
        <v>bioenergy</v>
      </c>
    </row>
    <row r="15" spans="1:5" x14ac:dyDescent="0.5">
      <c r="A15" t="s">
        <v>2</v>
      </c>
      <c r="B15" t="s">
        <v>8</v>
      </c>
      <c r="C15" s="1">
        <v>2046.3449900000001</v>
      </c>
      <c r="D15" t="s">
        <v>6</v>
      </c>
      <c r="E15" t="str">
        <f t="shared" si="0"/>
        <v>coal</v>
      </c>
    </row>
    <row r="16" spans="1:5" x14ac:dyDescent="0.5">
      <c r="A16" t="s">
        <v>2</v>
      </c>
      <c r="B16" t="s">
        <v>9</v>
      </c>
      <c r="C16" s="1">
        <v>611.39868499999989</v>
      </c>
      <c r="D16" t="s">
        <v>753</v>
      </c>
      <c r="E16" t="str">
        <f t="shared" si="0"/>
        <v>oil</v>
      </c>
    </row>
    <row r="17" spans="1:5" x14ac:dyDescent="0.5">
      <c r="A17" t="s">
        <v>2</v>
      </c>
      <c r="B17" t="s">
        <v>17</v>
      </c>
      <c r="C17" s="1">
        <v>1523.4932650000005</v>
      </c>
      <c r="D17" t="s">
        <v>1165</v>
      </c>
      <c r="E17" t="str">
        <f t="shared" si="0"/>
        <v>gas</v>
      </c>
    </row>
    <row r="18" spans="1:5" x14ac:dyDescent="0.5">
      <c r="A18" t="s">
        <v>2</v>
      </c>
      <c r="B18" t="s">
        <v>21</v>
      </c>
      <c r="C18" s="1">
        <v>323.64159500000011</v>
      </c>
      <c r="D18" t="s">
        <v>753</v>
      </c>
      <c r="E18" t="str">
        <f t="shared" si="0"/>
        <v>oil</v>
      </c>
    </row>
    <row r="19" spans="1:5" x14ac:dyDescent="0.5">
      <c r="A19" t="s">
        <v>2</v>
      </c>
      <c r="B19" t="s">
        <v>24</v>
      </c>
      <c r="C19" s="1">
        <v>51.648140000000005</v>
      </c>
      <c r="D19" t="s">
        <v>753</v>
      </c>
      <c r="E19" t="str">
        <f t="shared" si="0"/>
        <v>oil</v>
      </c>
    </row>
    <row r="20" spans="1:5" x14ac:dyDescent="0.5">
      <c r="A20" t="s">
        <v>2</v>
      </c>
      <c r="B20" t="s">
        <v>12</v>
      </c>
      <c r="C20" s="1">
        <v>15.047059000000004</v>
      </c>
      <c r="D20" t="s">
        <v>11</v>
      </c>
      <c r="E20" t="str">
        <f t="shared" si="0"/>
        <v>geothermal</v>
      </c>
    </row>
    <row r="21" spans="1:5" x14ac:dyDescent="0.5">
      <c r="A21" t="s">
        <v>2</v>
      </c>
      <c r="B21" t="s">
        <v>16</v>
      </c>
      <c r="C21" s="1">
        <v>59.423680000000004</v>
      </c>
      <c r="D21" t="s">
        <v>36</v>
      </c>
      <c r="E21" t="str">
        <f t="shared" si="0"/>
        <v>hydro</v>
      </c>
    </row>
    <row r="22" spans="1:5" x14ac:dyDescent="0.5">
      <c r="A22" t="s">
        <v>2</v>
      </c>
      <c r="B22" t="s">
        <v>26</v>
      </c>
      <c r="C22" s="1">
        <v>141.81989400000001</v>
      </c>
      <c r="D22" t="s">
        <v>36</v>
      </c>
      <c r="E22" t="s">
        <v>98</v>
      </c>
    </row>
    <row r="23" spans="1:5" x14ac:dyDescent="0.5">
      <c r="A23" t="s">
        <v>2</v>
      </c>
      <c r="B23" t="s">
        <v>27</v>
      </c>
      <c r="C23" s="1">
        <v>1208.6213810000004</v>
      </c>
      <c r="D23" t="s">
        <v>36</v>
      </c>
      <c r="E23" t="str">
        <f t="shared" si="0"/>
        <v>hydro</v>
      </c>
    </row>
    <row r="24" spans="1:5" x14ac:dyDescent="0.5">
      <c r="A24" t="s">
        <v>2</v>
      </c>
      <c r="B24" t="s">
        <v>18</v>
      </c>
      <c r="C24" s="1">
        <v>396.46338999999995</v>
      </c>
      <c r="D24" t="s">
        <v>19</v>
      </c>
      <c r="E24" t="str">
        <f t="shared" si="0"/>
        <v>nuclear</v>
      </c>
    </row>
    <row r="25" spans="1:5" x14ac:dyDescent="0.5">
      <c r="A25" t="s">
        <v>2</v>
      </c>
      <c r="B25" t="s">
        <v>31</v>
      </c>
      <c r="C25" s="1">
        <v>1406.6692190000001</v>
      </c>
      <c r="D25" t="s">
        <v>30</v>
      </c>
      <c r="E25" t="s">
        <v>41</v>
      </c>
    </row>
    <row r="26" spans="1:5" x14ac:dyDescent="0.5">
      <c r="A26" t="s">
        <v>2</v>
      </c>
      <c r="B26" t="s">
        <v>32</v>
      </c>
      <c r="C26" s="1">
        <v>6.8640910000000002</v>
      </c>
      <c r="D26" t="s">
        <v>30</v>
      </c>
      <c r="E26" t="s">
        <v>40</v>
      </c>
    </row>
    <row r="27" spans="1:5" x14ac:dyDescent="0.5">
      <c r="A27" t="s">
        <v>2</v>
      </c>
      <c r="B27" t="s">
        <v>20</v>
      </c>
      <c r="C27" s="1">
        <v>74.25053299999999</v>
      </c>
      <c r="D27" t="s">
        <v>2292</v>
      </c>
      <c r="E27" t="s">
        <v>38</v>
      </c>
    </row>
    <row r="28" spans="1:5" x14ac:dyDescent="0.5">
      <c r="A28" t="s">
        <v>2</v>
      </c>
      <c r="B28" t="s">
        <v>22</v>
      </c>
      <c r="C28" s="1">
        <v>945.34076099999982</v>
      </c>
      <c r="D28" t="s">
        <v>2293</v>
      </c>
      <c r="E2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0F25-0EB2-45A7-9F1A-1F63B7B024BD}">
  <dimension ref="A1:J6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4" sqref="J14"/>
    </sheetView>
  </sheetViews>
  <sheetFormatPr defaultRowHeight="15.75" x14ac:dyDescent="0.5"/>
  <cols>
    <col min="1" max="1" width="10.75" bestFit="1" customWidth="1"/>
    <col min="2" max="2" width="33.5" bestFit="1" customWidth="1"/>
    <col min="3" max="3" width="9.875" bestFit="1" customWidth="1"/>
    <col min="4" max="4" width="19.3125" bestFit="1" customWidth="1"/>
    <col min="5" max="5" width="10.125" bestFit="1" customWidth="1"/>
    <col min="6" max="6" width="8.625" bestFit="1" customWidth="1"/>
    <col min="7" max="7" width="14.5" bestFit="1" customWidth="1"/>
    <col min="8" max="8" width="10.125" bestFit="1" customWidth="1"/>
    <col min="9" max="9" width="13.4375" bestFit="1" customWidth="1"/>
    <col min="10" max="10" width="23.6875" bestFit="1" customWidth="1"/>
  </cols>
  <sheetData>
    <row r="1" spans="1:10" x14ac:dyDescent="0.5">
      <c r="A1" s="5" t="s">
        <v>2406</v>
      </c>
      <c r="B1" s="5" t="s">
        <v>42</v>
      </c>
      <c r="C1" s="5" t="s">
        <v>99</v>
      </c>
      <c r="D1" s="5" t="s">
        <v>100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6" t="s">
        <v>101</v>
      </c>
    </row>
    <row r="2" spans="1:10" x14ac:dyDescent="0.5">
      <c r="A2" t="s">
        <v>3</v>
      </c>
      <c r="B2" t="s">
        <v>3</v>
      </c>
      <c r="C2" t="s">
        <v>3</v>
      </c>
      <c r="E2">
        <v>3932</v>
      </c>
      <c r="F2">
        <v>7957</v>
      </c>
      <c r="G2">
        <v>624</v>
      </c>
      <c r="H2">
        <v>75994.33</v>
      </c>
      <c r="I2">
        <v>5764</v>
      </c>
      <c r="J2" t="str">
        <f t="shared" ref="J2:J33" si="0">C2&amp;IF(D2="","","_"&amp;D2)</f>
        <v>bioenergy</v>
      </c>
    </row>
    <row r="3" spans="1:10" x14ac:dyDescent="0.5">
      <c r="A3" t="s">
        <v>6</v>
      </c>
      <c r="B3" t="s">
        <v>48</v>
      </c>
      <c r="C3" t="s">
        <v>6</v>
      </c>
      <c r="D3" t="str">
        <f>SUBSTITUTE(B3,"/","_")</f>
        <v>CFB</v>
      </c>
      <c r="E3">
        <v>1400</v>
      </c>
      <c r="F3">
        <v>3197</v>
      </c>
      <c r="G3">
        <v>300</v>
      </c>
      <c r="H3">
        <v>15302.3</v>
      </c>
      <c r="I3">
        <v>4508</v>
      </c>
      <c r="J3" t="str">
        <f t="shared" si="0"/>
        <v>coal_CFB</v>
      </c>
    </row>
    <row r="4" spans="1:10" x14ac:dyDescent="0.5">
      <c r="A4" t="s">
        <v>6</v>
      </c>
      <c r="B4" t="s">
        <v>49</v>
      </c>
      <c r="C4" t="s">
        <v>6</v>
      </c>
      <c r="D4" t="str">
        <f t="shared" ref="D4:D10" si="1">SUBSTITUTE(B4,"/","_")</f>
        <v>IGCC</v>
      </c>
      <c r="E4">
        <v>0</v>
      </c>
      <c r="F4">
        <v>0</v>
      </c>
      <c r="G4">
        <v>0</v>
      </c>
      <c r="H4">
        <v>2634.5</v>
      </c>
      <c r="I4">
        <v>500</v>
      </c>
      <c r="J4" t="str">
        <f t="shared" si="0"/>
        <v>coal_IGCC</v>
      </c>
    </row>
    <row r="5" spans="1:10" x14ac:dyDescent="0.5">
      <c r="A5" t="s">
        <v>6</v>
      </c>
      <c r="B5" t="s">
        <v>50</v>
      </c>
      <c r="C5" t="s">
        <v>6</v>
      </c>
      <c r="D5" t="str">
        <f t="shared" si="1"/>
        <v>subcritical</v>
      </c>
      <c r="E5">
        <v>3199</v>
      </c>
      <c r="F5">
        <v>6231.5</v>
      </c>
      <c r="G5">
        <v>29328.5</v>
      </c>
      <c r="H5">
        <v>1026761.3</v>
      </c>
      <c r="I5">
        <v>8695</v>
      </c>
      <c r="J5" t="str">
        <f t="shared" si="0"/>
        <v>coal_subcritical</v>
      </c>
    </row>
    <row r="6" spans="1:10" x14ac:dyDescent="0.5">
      <c r="A6" t="s">
        <v>6</v>
      </c>
      <c r="B6" t="s">
        <v>51</v>
      </c>
      <c r="C6" t="s">
        <v>6</v>
      </c>
      <c r="D6" t="str">
        <f t="shared" si="1"/>
        <v>subcritical_CCS</v>
      </c>
      <c r="E6">
        <v>0</v>
      </c>
      <c r="F6">
        <v>0</v>
      </c>
      <c r="G6">
        <v>0</v>
      </c>
      <c r="H6">
        <v>2660</v>
      </c>
      <c r="I6">
        <v>0</v>
      </c>
      <c r="J6" t="str">
        <f t="shared" si="0"/>
        <v>coal_subcritical_CCS</v>
      </c>
    </row>
    <row r="7" spans="1:10" x14ac:dyDescent="0.5">
      <c r="A7" t="s">
        <v>6</v>
      </c>
      <c r="B7" t="s">
        <v>52</v>
      </c>
      <c r="C7" t="s">
        <v>6</v>
      </c>
      <c r="D7" t="str">
        <f t="shared" si="1"/>
        <v>supercritical</v>
      </c>
      <c r="E7">
        <v>9550</v>
      </c>
      <c r="F7">
        <v>35043</v>
      </c>
      <c r="G7">
        <v>1665</v>
      </c>
      <c r="H7">
        <v>563645.6</v>
      </c>
      <c r="I7">
        <v>34330</v>
      </c>
      <c r="J7" t="str">
        <f t="shared" si="0"/>
        <v>coal_supercritical</v>
      </c>
    </row>
    <row r="8" spans="1:10" x14ac:dyDescent="0.5">
      <c r="A8" t="s">
        <v>6</v>
      </c>
      <c r="B8" t="s">
        <v>53</v>
      </c>
      <c r="C8" t="s">
        <v>6</v>
      </c>
      <c r="D8" t="str">
        <f t="shared" si="1"/>
        <v>supercritical_CCS</v>
      </c>
      <c r="E8">
        <v>0</v>
      </c>
      <c r="F8">
        <v>0</v>
      </c>
      <c r="G8">
        <v>0</v>
      </c>
      <c r="H8">
        <v>2725</v>
      </c>
      <c r="I8">
        <v>0</v>
      </c>
      <c r="J8" t="str">
        <f t="shared" si="0"/>
        <v>coal_supercritical_CCS</v>
      </c>
    </row>
    <row r="9" spans="1:10" x14ac:dyDescent="0.5">
      <c r="A9" t="s">
        <v>6</v>
      </c>
      <c r="B9" t="s">
        <v>54</v>
      </c>
      <c r="C9" t="s">
        <v>6</v>
      </c>
      <c r="D9" t="str">
        <f t="shared" si="1"/>
        <v>ultra-supercritical</v>
      </c>
      <c r="E9">
        <v>67180</v>
      </c>
      <c r="F9">
        <v>193826</v>
      </c>
      <c r="G9">
        <v>0</v>
      </c>
      <c r="H9">
        <v>473792.2</v>
      </c>
      <c r="I9">
        <v>162016</v>
      </c>
      <c r="J9" t="str">
        <f t="shared" si="0"/>
        <v>coal_ultra-supercritical</v>
      </c>
    </row>
    <row r="10" spans="1:10" x14ac:dyDescent="0.5">
      <c r="A10" t="s">
        <v>6</v>
      </c>
      <c r="B10" t="s">
        <v>55</v>
      </c>
      <c r="C10" t="s">
        <v>6</v>
      </c>
      <c r="D10" t="str">
        <f t="shared" si="1"/>
        <v>ultra-supercritical_CCS</v>
      </c>
      <c r="E10">
        <v>0</v>
      </c>
      <c r="F10">
        <v>4000</v>
      </c>
      <c r="G10">
        <v>0</v>
      </c>
      <c r="H10">
        <v>3055</v>
      </c>
      <c r="I10">
        <v>4000</v>
      </c>
      <c r="J10" t="str">
        <f t="shared" si="0"/>
        <v>coal_ultra-supercritical_CCS</v>
      </c>
    </row>
    <row r="11" spans="1:10" x14ac:dyDescent="0.5">
      <c r="A11" t="s">
        <v>6</v>
      </c>
      <c r="B11" t="s">
        <v>56</v>
      </c>
      <c r="C11" t="s">
        <v>6</v>
      </c>
      <c r="D11" s="7" t="str">
        <f>D5</f>
        <v>subcritical</v>
      </c>
      <c r="E11">
        <v>35260</v>
      </c>
      <c r="F11">
        <v>14493</v>
      </c>
      <c r="G11">
        <v>142</v>
      </c>
      <c r="H11">
        <v>52770.2</v>
      </c>
      <c r="I11">
        <v>22972</v>
      </c>
      <c r="J11" t="str">
        <f t="shared" si="0"/>
        <v>coal_subcritical</v>
      </c>
    </row>
    <row r="12" spans="1:10" x14ac:dyDescent="0.5">
      <c r="A12" t="s">
        <v>6</v>
      </c>
      <c r="B12" t="s">
        <v>57</v>
      </c>
      <c r="C12" t="s">
        <v>6</v>
      </c>
      <c r="D12" s="7" t="str">
        <f>D8</f>
        <v>supercritical_CCS</v>
      </c>
      <c r="E12">
        <v>0</v>
      </c>
      <c r="F12">
        <v>0</v>
      </c>
      <c r="G12">
        <v>0</v>
      </c>
      <c r="H12">
        <v>0</v>
      </c>
      <c r="I12">
        <v>945</v>
      </c>
      <c r="J12" t="str">
        <f t="shared" si="0"/>
        <v>coal_supercritical_CCS</v>
      </c>
    </row>
    <row r="13" spans="1:10" x14ac:dyDescent="0.5">
      <c r="A13" t="s">
        <v>11</v>
      </c>
      <c r="B13" t="s">
        <v>58</v>
      </c>
      <c r="C13" t="s">
        <v>11</v>
      </c>
      <c r="E13">
        <v>200</v>
      </c>
      <c r="F13">
        <v>8</v>
      </c>
      <c r="G13">
        <v>0</v>
      </c>
      <c r="H13">
        <v>0</v>
      </c>
      <c r="I13">
        <v>0</v>
      </c>
      <c r="J13" t="str">
        <f t="shared" si="0"/>
        <v>geothermal</v>
      </c>
    </row>
    <row r="14" spans="1:10" x14ac:dyDescent="0.5">
      <c r="A14" t="s">
        <v>11</v>
      </c>
      <c r="B14" t="s">
        <v>59</v>
      </c>
      <c r="C14" t="s">
        <v>11</v>
      </c>
      <c r="E14">
        <v>18</v>
      </c>
      <c r="F14">
        <v>223.9</v>
      </c>
      <c r="G14">
        <v>7.3</v>
      </c>
      <c r="H14">
        <v>3304.81</v>
      </c>
      <c r="I14">
        <v>858.6</v>
      </c>
      <c r="J14" t="str">
        <f t="shared" si="0"/>
        <v>geothermal</v>
      </c>
    </row>
    <row r="15" spans="1:10" x14ac:dyDescent="0.5">
      <c r="A15" t="s">
        <v>11</v>
      </c>
      <c r="B15" t="s">
        <v>60</v>
      </c>
      <c r="C15" t="s">
        <v>11</v>
      </c>
      <c r="E15">
        <v>0</v>
      </c>
      <c r="F15">
        <v>0</v>
      </c>
      <c r="G15">
        <v>55</v>
      </c>
      <c r="H15">
        <v>2461.6999999999998</v>
      </c>
      <c r="I15">
        <v>0</v>
      </c>
      <c r="J15" t="str">
        <f t="shared" si="0"/>
        <v>geothermal</v>
      </c>
    </row>
    <row r="16" spans="1:10" x14ac:dyDescent="0.5">
      <c r="A16" t="s">
        <v>11</v>
      </c>
      <c r="B16" t="s">
        <v>61</v>
      </c>
      <c r="C16" t="s">
        <v>11</v>
      </c>
      <c r="E16">
        <v>1895</v>
      </c>
      <c r="F16">
        <v>100</v>
      </c>
      <c r="G16">
        <v>0</v>
      </c>
      <c r="H16">
        <v>5.2</v>
      </c>
      <c r="I16">
        <v>451</v>
      </c>
      <c r="J16" t="str">
        <f t="shared" si="0"/>
        <v>geothermal</v>
      </c>
    </row>
    <row r="17" spans="1:10" x14ac:dyDescent="0.5">
      <c r="A17" t="s">
        <v>11</v>
      </c>
      <c r="B17" t="s">
        <v>62</v>
      </c>
      <c r="C17" t="s">
        <v>11</v>
      </c>
      <c r="E17">
        <v>0</v>
      </c>
      <c r="F17">
        <v>15</v>
      </c>
      <c r="G17">
        <v>0</v>
      </c>
      <c r="H17">
        <v>2511.5</v>
      </c>
      <c r="I17">
        <v>144</v>
      </c>
      <c r="J17" t="str">
        <f t="shared" si="0"/>
        <v>geothermal</v>
      </c>
    </row>
    <row r="18" spans="1:10" x14ac:dyDescent="0.5">
      <c r="A18" t="s">
        <v>11</v>
      </c>
      <c r="B18" t="s">
        <v>63</v>
      </c>
      <c r="C18" t="s">
        <v>11</v>
      </c>
      <c r="E18">
        <v>0</v>
      </c>
      <c r="F18">
        <v>55</v>
      </c>
      <c r="G18">
        <v>0</v>
      </c>
      <c r="H18">
        <v>4439.25</v>
      </c>
      <c r="I18">
        <v>0</v>
      </c>
      <c r="J18" t="str">
        <f t="shared" si="0"/>
        <v>geothermal</v>
      </c>
    </row>
    <row r="19" spans="1:10" x14ac:dyDescent="0.5">
      <c r="A19" t="s">
        <v>11</v>
      </c>
      <c r="B19" t="s">
        <v>64</v>
      </c>
      <c r="C19" t="s">
        <v>11</v>
      </c>
      <c r="E19">
        <v>0</v>
      </c>
      <c r="F19">
        <v>0</v>
      </c>
      <c r="G19">
        <v>0</v>
      </c>
      <c r="H19">
        <v>441</v>
      </c>
      <c r="I19">
        <v>275</v>
      </c>
      <c r="J19" t="str">
        <f t="shared" si="0"/>
        <v>geothermal</v>
      </c>
    </row>
    <row r="20" spans="1:10" x14ac:dyDescent="0.5">
      <c r="A20" t="s">
        <v>11</v>
      </c>
      <c r="B20" t="s">
        <v>65</v>
      </c>
      <c r="C20" t="s">
        <v>11</v>
      </c>
      <c r="E20">
        <v>0</v>
      </c>
      <c r="F20">
        <v>22</v>
      </c>
      <c r="G20">
        <v>0</v>
      </c>
      <c r="H20">
        <v>69.2</v>
      </c>
      <c r="I20">
        <v>200</v>
      </c>
      <c r="J20" t="str">
        <f t="shared" si="0"/>
        <v>geothermal</v>
      </c>
    </row>
    <row r="21" spans="1:10" x14ac:dyDescent="0.5">
      <c r="A21" t="s">
        <v>11</v>
      </c>
      <c r="B21" t="s">
        <v>66</v>
      </c>
      <c r="C21" t="s">
        <v>11</v>
      </c>
      <c r="E21">
        <v>153</v>
      </c>
      <c r="F21">
        <v>0</v>
      </c>
      <c r="G21">
        <v>0</v>
      </c>
      <c r="H21">
        <v>0</v>
      </c>
      <c r="I21">
        <v>0</v>
      </c>
      <c r="J21" t="str">
        <f t="shared" si="0"/>
        <v>geothermal</v>
      </c>
    </row>
    <row r="22" spans="1:10" x14ac:dyDescent="0.5">
      <c r="A22" t="s">
        <v>11</v>
      </c>
      <c r="B22" t="s">
        <v>67</v>
      </c>
      <c r="C22" t="s">
        <v>11</v>
      </c>
      <c r="E22">
        <v>3201</v>
      </c>
      <c r="F22">
        <v>1456.5</v>
      </c>
      <c r="G22">
        <v>0</v>
      </c>
      <c r="H22">
        <v>2940.75</v>
      </c>
      <c r="I22">
        <v>6081.3</v>
      </c>
      <c r="J22" t="str">
        <f t="shared" si="0"/>
        <v>geothermal</v>
      </c>
    </row>
    <row r="23" spans="1:10" x14ac:dyDescent="0.5">
      <c r="A23" t="s">
        <v>14</v>
      </c>
      <c r="B23" t="s">
        <v>68</v>
      </c>
      <c r="C23" t="s">
        <v>36</v>
      </c>
      <c r="D23" t="s">
        <v>1426</v>
      </c>
      <c r="E23">
        <v>0</v>
      </c>
      <c r="F23">
        <v>0</v>
      </c>
      <c r="G23">
        <v>0</v>
      </c>
      <c r="H23">
        <v>3714</v>
      </c>
      <c r="I23">
        <v>0</v>
      </c>
      <c r="J23" t="str">
        <f t="shared" si="0"/>
        <v>hydro_dam</v>
      </c>
    </row>
    <row r="24" spans="1:10" x14ac:dyDescent="0.5">
      <c r="A24" t="s">
        <v>14</v>
      </c>
      <c r="B24" t="s">
        <v>69</v>
      </c>
      <c r="C24" t="s">
        <v>36</v>
      </c>
      <c r="D24" t="s">
        <v>97</v>
      </c>
      <c r="E24">
        <v>2988</v>
      </c>
      <c r="F24">
        <v>2022</v>
      </c>
      <c r="G24">
        <v>0</v>
      </c>
      <c r="H24">
        <v>8745</v>
      </c>
      <c r="I24">
        <v>1635</v>
      </c>
      <c r="J24" t="str">
        <f t="shared" si="0"/>
        <v>hydro_ror</v>
      </c>
    </row>
    <row r="25" spans="1:10" x14ac:dyDescent="0.5">
      <c r="A25" t="s">
        <v>14</v>
      </c>
      <c r="B25" t="s">
        <v>70</v>
      </c>
      <c r="C25" t="s">
        <v>36</v>
      </c>
      <c r="D25" t="s">
        <v>1426</v>
      </c>
      <c r="E25">
        <v>86244</v>
      </c>
      <c r="F25">
        <v>63796</v>
      </c>
      <c r="G25">
        <v>9329</v>
      </c>
      <c r="H25">
        <v>832703</v>
      </c>
      <c r="I25">
        <v>103239</v>
      </c>
      <c r="J25" t="str">
        <f t="shared" si="0"/>
        <v>hydro_dam</v>
      </c>
    </row>
    <row r="26" spans="1:10" x14ac:dyDescent="0.5">
      <c r="A26" t="s">
        <v>14</v>
      </c>
      <c r="B26" t="s">
        <v>71</v>
      </c>
      <c r="C26" t="s">
        <v>36</v>
      </c>
      <c r="D26" t="s">
        <v>98</v>
      </c>
      <c r="E26">
        <v>179801</v>
      </c>
      <c r="F26">
        <v>176209</v>
      </c>
      <c r="G26">
        <v>66</v>
      </c>
      <c r="H26">
        <v>180495</v>
      </c>
      <c r="I26">
        <v>287728</v>
      </c>
      <c r="J26" t="str">
        <f t="shared" si="0"/>
        <v>hydro_ps</v>
      </c>
    </row>
    <row r="27" spans="1:10" x14ac:dyDescent="0.5">
      <c r="A27" t="s">
        <v>14</v>
      </c>
      <c r="B27" t="s">
        <v>72</v>
      </c>
      <c r="C27" t="s">
        <v>36</v>
      </c>
      <c r="D27" t="s">
        <v>97</v>
      </c>
      <c r="E27">
        <v>26031</v>
      </c>
      <c r="F27">
        <v>23434</v>
      </c>
      <c r="G27">
        <v>2989</v>
      </c>
      <c r="H27">
        <v>177864</v>
      </c>
      <c r="I27">
        <v>43340</v>
      </c>
      <c r="J27" t="str">
        <f t="shared" si="0"/>
        <v>hydro_ror</v>
      </c>
    </row>
    <row r="28" spans="1:10" x14ac:dyDescent="0.5">
      <c r="A28" t="s">
        <v>14</v>
      </c>
      <c r="B28" t="s">
        <v>56</v>
      </c>
      <c r="C28" t="s">
        <v>36</v>
      </c>
      <c r="D28" t="s">
        <v>97</v>
      </c>
      <c r="E28">
        <v>33986</v>
      </c>
      <c r="F28">
        <v>1763</v>
      </c>
      <c r="G28">
        <v>830</v>
      </c>
      <c r="H28">
        <v>12842</v>
      </c>
      <c r="I28">
        <v>80564</v>
      </c>
      <c r="J28" t="str">
        <f t="shared" si="0"/>
        <v>hydro_ror</v>
      </c>
    </row>
    <row r="29" spans="1:10" x14ac:dyDescent="0.5">
      <c r="A29" t="s">
        <v>19</v>
      </c>
      <c r="B29" t="s">
        <v>73</v>
      </c>
      <c r="C29" t="s">
        <v>19</v>
      </c>
      <c r="E29">
        <v>0</v>
      </c>
      <c r="F29">
        <v>2756</v>
      </c>
      <c r="G29">
        <v>18565</v>
      </c>
      <c r="H29">
        <v>45177</v>
      </c>
      <c r="I29">
        <v>180</v>
      </c>
      <c r="J29" t="str">
        <f t="shared" si="0"/>
        <v>nuclear</v>
      </c>
    </row>
    <row r="30" spans="1:10" x14ac:dyDescent="0.5">
      <c r="A30" t="s">
        <v>19</v>
      </c>
      <c r="B30" t="s">
        <v>74</v>
      </c>
      <c r="C30" t="s">
        <v>19</v>
      </c>
      <c r="E30">
        <v>0</v>
      </c>
      <c r="F30">
        <v>2102</v>
      </c>
      <c r="G30">
        <v>0</v>
      </c>
      <c r="H30">
        <v>1510</v>
      </c>
      <c r="I30">
        <v>1200</v>
      </c>
      <c r="J30" t="str">
        <f t="shared" si="0"/>
        <v>nuclear</v>
      </c>
    </row>
    <row r="31" spans="1:10" x14ac:dyDescent="0.5">
      <c r="A31" t="s">
        <v>19</v>
      </c>
      <c r="B31" t="s">
        <v>75</v>
      </c>
      <c r="C31" t="s">
        <v>19</v>
      </c>
      <c r="E31">
        <v>30</v>
      </c>
      <c r="F31">
        <v>0</v>
      </c>
      <c r="G31">
        <v>0</v>
      </c>
      <c r="H31">
        <v>0</v>
      </c>
      <c r="I31">
        <v>0</v>
      </c>
      <c r="J31" t="str">
        <f t="shared" si="0"/>
        <v>nuclear</v>
      </c>
    </row>
    <row r="32" spans="1:10" x14ac:dyDescent="0.5">
      <c r="A32" t="s">
        <v>19</v>
      </c>
      <c r="B32" t="s">
        <v>76</v>
      </c>
      <c r="C32" t="s">
        <v>19</v>
      </c>
      <c r="E32">
        <v>40</v>
      </c>
      <c r="F32">
        <v>0</v>
      </c>
      <c r="G32">
        <v>0</v>
      </c>
      <c r="H32">
        <v>5289</v>
      </c>
      <c r="I32">
        <v>0</v>
      </c>
      <c r="J32" t="str">
        <f t="shared" si="0"/>
        <v>nuclear</v>
      </c>
    </row>
    <row r="33" spans="1:10" x14ac:dyDescent="0.5">
      <c r="A33" t="s">
        <v>19</v>
      </c>
      <c r="B33" t="s">
        <v>77</v>
      </c>
      <c r="C33" t="s">
        <v>19</v>
      </c>
      <c r="E33">
        <v>3600</v>
      </c>
      <c r="F33">
        <v>0</v>
      </c>
      <c r="G33">
        <v>0</v>
      </c>
      <c r="H33">
        <v>221</v>
      </c>
      <c r="I33">
        <v>0</v>
      </c>
      <c r="J33" t="str">
        <f t="shared" si="0"/>
        <v>nuclear</v>
      </c>
    </row>
    <row r="34" spans="1:10" x14ac:dyDescent="0.5">
      <c r="A34" t="s">
        <v>19</v>
      </c>
      <c r="B34" t="s">
        <v>78</v>
      </c>
      <c r="C34" t="s">
        <v>19</v>
      </c>
      <c r="E34">
        <v>0</v>
      </c>
      <c r="F34">
        <v>30</v>
      </c>
      <c r="G34">
        <v>0</v>
      </c>
      <c r="H34">
        <v>7036</v>
      </c>
      <c r="I34">
        <v>0</v>
      </c>
      <c r="J34" t="str">
        <f t="shared" ref="J34:J62" si="2">C34&amp;IF(D34="","","_"&amp;D34)</f>
        <v>nuclear</v>
      </c>
    </row>
    <row r="35" spans="1:10" x14ac:dyDescent="0.5">
      <c r="A35" t="s">
        <v>19</v>
      </c>
      <c r="B35" t="s">
        <v>79</v>
      </c>
      <c r="C35" t="s">
        <v>19</v>
      </c>
      <c r="E35">
        <v>0</v>
      </c>
      <c r="F35">
        <v>0</v>
      </c>
      <c r="G35">
        <v>0</v>
      </c>
      <c r="H35">
        <v>0</v>
      </c>
      <c r="I35">
        <v>345</v>
      </c>
      <c r="J35" t="str">
        <f t="shared" si="2"/>
        <v>nuclear</v>
      </c>
    </row>
    <row r="36" spans="1:10" x14ac:dyDescent="0.5">
      <c r="A36" t="s">
        <v>19</v>
      </c>
      <c r="B36" t="s">
        <v>80</v>
      </c>
      <c r="C36" t="s">
        <v>19</v>
      </c>
      <c r="E36">
        <v>0</v>
      </c>
      <c r="F36">
        <v>2</v>
      </c>
      <c r="G36">
        <v>0</v>
      </c>
      <c r="H36">
        <v>0</v>
      </c>
      <c r="I36">
        <v>0</v>
      </c>
      <c r="J36" t="str">
        <f t="shared" si="2"/>
        <v>nuclear</v>
      </c>
    </row>
    <row r="37" spans="1:10" x14ac:dyDescent="0.5">
      <c r="A37" t="s">
        <v>19</v>
      </c>
      <c r="B37" t="s">
        <v>81</v>
      </c>
      <c r="C37" t="s">
        <v>19</v>
      </c>
      <c r="E37">
        <v>0</v>
      </c>
      <c r="F37">
        <v>1400</v>
      </c>
      <c r="G37">
        <v>320</v>
      </c>
      <c r="H37">
        <v>25155</v>
      </c>
      <c r="I37">
        <v>13040</v>
      </c>
      <c r="J37" t="str">
        <f t="shared" si="2"/>
        <v>nuclear</v>
      </c>
    </row>
    <row r="38" spans="1:10" x14ac:dyDescent="0.5">
      <c r="A38" t="s">
        <v>19</v>
      </c>
      <c r="B38" t="s">
        <v>82</v>
      </c>
      <c r="C38" t="s">
        <v>19</v>
      </c>
      <c r="E38">
        <v>92720</v>
      </c>
      <c r="F38">
        <v>63635</v>
      </c>
      <c r="G38">
        <v>3880</v>
      </c>
      <c r="H38">
        <v>312096</v>
      </c>
      <c r="I38">
        <v>76322</v>
      </c>
      <c r="J38" t="str">
        <f t="shared" si="2"/>
        <v>nuclear</v>
      </c>
    </row>
    <row r="39" spans="1:10" x14ac:dyDescent="0.5">
      <c r="A39" t="s">
        <v>19</v>
      </c>
      <c r="B39" t="s">
        <v>83</v>
      </c>
      <c r="C39" t="s">
        <v>19</v>
      </c>
      <c r="D39" t="s">
        <v>1427</v>
      </c>
      <c r="E39">
        <v>11697</v>
      </c>
      <c r="F39">
        <v>0</v>
      </c>
      <c r="G39">
        <v>0</v>
      </c>
      <c r="H39">
        <v>0</v>
      </c>
      <c r="I39">
        <v>767</v>
      </c>
      <c r="J39" t="str">
        <f t="shared" si="2"/>
        <v>nuclear_smr</v>
      </c>
    </row>
    <row r="40" spans="1:10" x14ac:dyDescent="0.5">
      <c r="A40" t="s">
        <v>19</v>
      </c>
      <c r="B40" t="s">
        <v>56</v>
      </c>
      <c r="C40" t="s">
        <v>19</v>
      </c>
      <c r="E40">
        <v>18700</v>
      </c>
      <c r="F40">
        <v>5000</v>
      </c>
      <c r="G40">
        <v>0</v>
      </c>
      <c r="H40">
        <v>0</v>
      </c>
      <c r="I40">
        <v>5200</v>
      </c>
      <c r="J40" t="str">
        <f t="shared" si="2"/>
        <v>nuclear</v>
      </c>
    </row>
    <row r="41" spans="1:10" x14ac:dyDescent="0.5">
      <c r="A41" s="20" t="str">
        <f>C41</f>
        <v>gas</v>
      </c>
      <c r="B41" t="s">
        <v>86</v>
      </c>
      <c r="C41" t="s">
        <v>1165</v>
      </c>
      <c r="D41" t="str">
        <f>D49</f>
        <v>internal_combustion</v>
      </c>
      <c r="E41">
        <v>1713.7</v>
      </c>
      <c r="F41">
        <v>1665.1</v>
      </c>
      <c r="G41">
        <v>258</v>
      </c>
      <c r="H41">
        <v>7546.8</v>
      </c>
      <c r="I41">
        <v>1390.5</v>
      </c>
      <c r="J41" t="str">
        <f t="shared" si="2"/>
        <v>gas_internal_combustion</v>
      </c>
    </row>
    <row r="42" spans="1:10" x14ac:dyDescent="0.5">
      <c r="A42" s="20" t="str">
        <f t="shared" ref="A42:A54" si="3">C42</f>
        <v>oil</v>
      </c>
      <c r="B42" t="s">
        <v>86</v>
      </c>
      <c r="C42" t="s">
        <v>753</v>
      </c>
      <c r="D42" t="str">
        <f>D50</f>
        <v>internal_combustion</v>
      </c>
      <c r="E42">
        <v>0</v>
      </c>
      <c r="F42">
        <v>0</v>
      </c>
      <c r="G42">
        <v>0</v>
      </c>
      <c r="H42">
        <v>4595.3</v>
      </c>
      <c r="I42">
        <v>61.5</v>
      </c>
      <c r="J42" t="str">
        <f t="shared" si="2"/>
        <v>oil_internal_combustion</v>
      </c>
    </row>
    <row r="43" spans="1:10" x14ac:dyDescent="0.5">
      <c r="A43" s="20" t="str">
        <f t="shared" si="3"/>
        <v>gas</v>
      </c>
      <c r="B43" t="s">
        <v>49</v>
      </c>
      <c r="C43" t="s">
        <v>1165</v>
      </c>
      <c r="D43" t="str">
        <f>D45</f>
        <v>combined_cycle</v>
      </c>
      <c r="E43">
        <v>0</v>
      </c>
      <c r="F43">
        <v>0</v>
      </c>
      <c r="G43">
        <v>0</v>
      </c>
      <c r="H43">
        <v>192.9</v>
      </c>
      <c r="I43">
        <v>0</v>
      </c>
      <c r="J43" t="str">
        <f t="shared" si="2"/>
        <v>gas_combined_cycle</v>
      </c>
    </row>
    <row r="44" spans="1:10" x14ac:dyDescent="0.5">
      <c r="A44" s="20" t="str">
        <f t="shared" si="3"/>
        <v>gas</v>
      </c>
      <c r="B44" t="s">
        <v>88</v>
      </c>
      <c r="C44" t="s">
        <v>1165</v>
      </c>
      <c r="D44" t="str">
        <f>D45</f>
        <v>combined_cycle</v>
      </c>
      <c r="E44">
        <v>0</v>
      </c>
      <c r="F44">
        <v>0</v>
      </c>
      <c r="G44">
        <v>0</v>
      </c>
      <c r="H44">
        <v>4892</v>
      </c>
      <c r="I44">
        <v>0</v>
      </c>
      <c r="J44" t="str">
        <f t="shared" si="2"/>
        <v>gas_combined_cycle</v>
      </c>
    </row>
    <row r="45" spans="1:10" x14ac:dyDescent="0.5">
      <c r="A45" s="20" t="str">
        <f t="shared" si="3"/>
        <v>gas</v>
      </c>
      <c r="B45" t="s">
        <v>84</v>
      </c>
      <c r="C45" t="s">
        <v>1165</v>
      </c>
      <c r="D45" t="str">
        <f t="shared" ref="D45:D52" si="4">SUBSTITUTE(B45," ","_")</f>
        <v>combined_cycle</v>
      </c>
      <c r="E45">
        <v>145311.9</v>
      </c>
      <c r="F45">
        <v>141816.6</v>
      </c>
      <c r="G45">
        <v>10733</v>
      </c>
      <c r="H45">
        <v>1320286.6000000001</v>
      </c>
      <c r="I45">
        <v>233103</v>
      </c>
      <c r="J45" t="str">
        <f t="shared" si="2"/>
        <v>gas_combined_cycle</v>
      </c>
    </row>
    <row r="46" spans="1:10" x14ac:dyDescent="0.5">
      <c r="A46" s="20" t="str">
        <f t="shared" si="3"/>
        <v>oil</v>
      </c>
      <c r="B46" t="s">
        <v>84</v>
      </c>
      <c r="C46" t="s">
        <v>753</v>
      </c>
      <c r="D46" t="str">
        <f t="shared" si="4"/>
        <v>combined_cycle</v>
      </c>
      <c r="E46">
        <v>313</v>
      </c>
      <c r="F46">
        <v>83.5</v>
      </c>
      <c r="G46">
        <v>940</v>
      </c>
      <c r="H46">
        <v>16507.599999999999</v>
      </c>
      <c r="I46">
        <v>0</v>
      </c>
      <c r="J46" t="str">
        <f t="shared" si="2"/>
        <v>oil_combined_cycle</v>
      </c>
    </row>
    <row r="47" spans="1:10" x14ac:dyDescent="0.5">
      <c r="A47" s="20" t="str">
        <f t="shared" si="3"/>
        <v>gas</v>
      </c>
      <c r="B47" t="s">
        <v>85</v>
      </c>
      <c r="C47" t="s">
        <v>1165</v>
      </c>
      <c r="D47" t="str">
        <f t="shared" si="4"/>
        <v>gas_turbine</v>
      </c>
      <c r="E47">
        <v>47997.4</v>
      </c>
      <c r="F47">
        <v>26849.200000000001</v>
      </c>
      <c r="G47">
        <v>11844.4</v>
      </c>
      <c r="H47">
        <v>303558.40000000002</v>
      </c>
      <c r="I47">
        <v>29456.400000000001</v>
      </c>
      <c r="J47" t="str">
        <f t="shared" si="2"/>
        <v>gas_gas_turbine</v>
      </c>
    </row>
    <row r="48" spans="1:10" x14ac:dyDescent="0.5">
      <c r="A48" s="20" t="str">
        <f t="shared" si="3"/>
        <v>oil</v>
      </c>
      <c r="B48" t="s">
        <v>85</v>
      </c>
      <c r="C48" t="s">
        <v>753</v>
      </c>
      <c r="D48" t="str">
        <f t="shared" si="4"/>
        <v>gas_turbine</v>
      </c>
      <c r="E48">
        <v>288</v>
      </c>
      <c r="F48">
        <v>860</v>
      </c>
      <c r="G48">
        <v>1008.3</v>
      </c>
      <c r="H48">
        <v>36977.9</v>
      </c>
      <c r="I48">
        <v>730</v>
      </c>
      <c r="J48" t="str">
        <f t="shared" si="2"/>
        <v>oil_gas_turbine</v>
      </c>
    </row>
    <row r="49" spans="1:10" x14ac:dyDescent="0.5">
      <c r="A49" s="20" t="str">
        <f t="shared" si="3"/>
        <v>gas</v>
      </c>
      <c r="B49" t="s">
        <v>87</v>
      </c>
      <c r="C49" t="s">
        <v>1165</v>
      </c>
      <c r="D49" t="str">
        <f t="shared" si="4"/>
        <v>internal_combustion</v>
      </c>
      <c r="E49">
        <v>3674</v>
      </c>
      <c r="F49">
        <v>1252.8</v>
      </c>
      <c r="G49">
        <v>1121.2</v>
      </c>
      <c r="H49">
        <v>15421.29</v>
      </c>
      <c r="I49">
        <v>953.1</v>
      </c>
      <c r="J49" t="str">
        <f t="shared" si="2"/>
        <v>gas_internal_combustion</v>
      </c>
    </row>
    <row r="50" spans="1:10" x14ac:dyDescent="0.5">
      <c r="A50" s="20" t="str">
        <f t="shared" si="3"/>
        <v>oil</v>
      </c>
      <c r="B50" t="s">
        <v>87</v>
      </c>
      <c r="C50" t="s">
        <v>753</v>
      </c>
      <c r="D50" t="str">
        <f t="shared" si="4"/>
        <v>internal_combustion</v>
      </c>
      <c r="E50">
        <v>199.6</v>
      </c>
      <c r="F50">
        <v>1078.9000000000001</v>
      </c>
      <c r="G50">
        <v>781.6</v>
      </c>
      <c r="H50">
        <v>30711.7</v>
      </c>
      <c r="I50">
        <v>563.79999999999995</v>
      </c>
      <c r="J50" t="str">
        <f t="shared" si="2"/>
        <v>oil_internal_combustion</v>
      </c>
    </row>
    <row r="51" spans="1:10" x14ac:dyDescent="0.5">
      <c r="A51" s="20" t="str">
        <f t="shared" si="3"/>
        <v>gas</v>
      </c>
      <c r="B51" t="s">
        <v>89</v>
      </c>
      <c r="C51" t="s">
        <v>1165</v>
      </c>
      <c r="D51" t="str">
        <f t="shared" si="4"/>
        <v>steam_turbine</v>
      </c>
      <c r="E51">
        <v>23693.4</v>
      </c>
      <c r="F51">
        <v>25607.599999999999</v>
      </c>
      <c r="G51">
        <v>17650.099999999999</v>
      </c>
      <c r="H51">
        <v>320443.40999999997</v>
      </c>
      <c r="I51">
        <v>15650.1</v>
      </c>
      <c r="J51" t="str">
        <f t="shared" si="2"/>
        <v>gas_steam_turbine</v>
      </c>
    </row>
    <row r="52" spans="1:10" x14ac:dyDescent="0.5">
      <c r="A52" s="20" t="str">
        <f t="shared" si="3"/>
        <v>oil</v>
      </c>
      <c r="B52" t="s">
        <v>89</v>
      </c>
      <c r="C52" t="s">
        <v>753</v>
      </c>
      <c r="D52" t="str">
        <f t="shared" si="4"/>
        <v>steam_turbine</v>
      </c>
      <c r="E52">
        <v>2079</v>
      </c>
      <c r="F52">
        <v>7280</v>
      </c>
      <c r="G52">
        <v>6664</v>
      </c>
      <c r="H52">
        <v>67402.3</v>
      </c>
      <c r="I52">
        <v>4215</v>
      </c>
      <c r="J52" t="str">
        <f t="shared" si="2"/>
        <v>oil_steam_turbine</v>
      </c>
    </row>
    <row r="53" spans="1:10" x14ac:dyDescent="0.5">
      <c r="A53" s="20" t="str">
        <f t="shared" si="3"/>
        <v>gas</v>
      </c>
      <c r="B53" t="s">
        <v>56</v>
      </c>
      <c r="C53" t="s">
        <v>1165</v>
      </c>
      <c r="D53" s="7" t="str">
        <f>D51</f>
        <v>steam_turbine</v>
      </c>
      <c r="E53">
        <v>49174.8</v>
      </c>
      <c r="F53">
        <v>2452</v>
      </c>
      <c r="G53">
        <v>132</v>
      </c>
      <c r="H53">
        <v>3919</v>
      </c>
      <c r="I53">
        <v>25346</v>
      </c>
      <c r="J53" t="str">
        <f t="shared" si="2"/>
        <v>gas_steam_turbine</v>
      </c>
    </row>
    <row r="54" spans="1:10" x14ac:dyDescent="0.5">
      <c r="A54" s="20" t="str">
        <f t="shared" si="3"/>
        <v>oil</v>
      </c>
      <c r="B54" t="s">
        <v>56</v>
      </c>
      <c r="C54" t="s">
        <v>753</v>
      </c>
      <c r="D54" s="7" t="str">
        <f>D52</f>
        <v>steam_turbine</v>
      </c>
      <c r="E54">
        <v>207</v>
      </c>
      <c r="F54">
        <v>95.2</v>
      </c>
      <c r="G54">
        <v>0</v>
      </c>
      <c r="H54">
        <v>3386.6</v>
      </c>
      <c r="I54">
        <v>0</v>
      </c>
      <c r="J54" t="str">
        <f t="shared" si="2"/>
        <v>oil_steam_turbine</v>
      </c>
    </row>
    <row r="55" spans="1:10" x14ac:dyDescent="0.5">
      <c r="A55" t="s">
        <v>30</v>
      </c>
      <c r="B55" t="s">
        <v>90</v>
      </c>
      <c r="C55" t="s">
        <v>30</v>
      </c>
      <c r="D55" t="s">
        <v>2112</v>
      </c>
      <c r="E55">
        <v>148659.6</v>
      </c>
      <c r="F55">
        <v>10395.4</v>
      </c>
      <c r="G55">
        <v>0</v>
      </c>
      <c r="H55">
        <v>77663.899999999994</v>
      </c>
      <c r="I55">
        <v>54816.4</v>
      </c>
      <c r="J55" t="str">
        <f t="shared" si="2"/>
        <v>solar_pv</v>
      </c>
    </row>
    <row r="56" spans="1:10" x14ac:dyDescent="0.5">
      <c r="A56" t="s">
        <v>30</v>
      </c>
      <c r="B56" t="s">
        <v>91</v>
      </c>
      <c r="C56" t="s">
        <v>30</v>
      </c>
      <c r="D56" t="s">
        <v>2112</v>
      </c>
      <c r="E56">
        <v>494860.6</v>
      </c>
      <c r="F56">
        <v>349626.9</v>
      </c>
      <c r="G56">
        <v>551.79999999999995</v>
      </c>
      <c r="H56">
        <v>905759.8</v>
      </c>
      <c r="I56">
        <v>1004226.5</v>
      </c>
      <c r="J56" t="str">
        <f t="shared" si="2"/>
        <v>solar_pv</v>
      </c>
    </row>
    <row r="57" spans="1:10" x14ac:dyDescent="0.5">
      <c r="A57" t="s">
        <v>30</v>
      </c>
      <c r="B57" t="s">
        <v>92</v>
      </c>
      <c r="C57" t="s">
        <v>30</v>
      </c>
      <c r="D57" t="s">
        <v>1170</v>
      </c>
      <c r="E57">
        <v>1890</v>
      </c>
      <c r="F57">
        <v>4004</v>
      </c>
      <c r="G57">
        <v>110</v>
      </c>
      <c r="H57">
        <v>7686.3</v>
      </c>
      <c r="I57">
        <v>8873.6</v>
      </c>
      <c r="J57" t="str">
        <f t="shared" si="2"/>
        <v>solar_thermal</v>
      </c>
    </row>
    <row r="58" spans="1:10" x14ac:dyDescent="0.5">
      <c r="A58" t="s">
        <v>35</v>
      </c>
      <c r="B58" t="s">
        <v>93</v>
      </c>
      <c r="C58" t="s">
        <v>2292</v>
      </c>
      <c r="D58" t="s">
        <v>35</v>
      </c>
      <c r="E58">
        <v>84415</v>
      </c>
      <c r="F58">
        <v>1112.2</v>
      </c>
      <c r="G58">
        <v>0</v>
      </c>
      <c r="H58">
        <v>344.5</v>
      </c>
      <c r="I58">
        <v>134654.39999999999</v>
      </c>
      <c r="J58" t="str">
        <f t="shared" si="2"/>
        <v>windoff_wind</v>
      </c>
    </row>
    <row r="59" spans="1:10" x14ac:dyDescent="0.5">
      <c r="A59" t="s">
        <v>35</v>
      </c>
      <c r="B59" t="s">
        <v>94</v>
      </c>
      <c r="C59" t="s">
        <v>2292</v>
      </c>
      <c r="D59" t="s">
        <v>35</v>
      </c>
      <c r="E59">
        <v>86837</v>
      </c>
      <c r="F59">
        <v>40475.5</v>
      </c>
      <c r="G59">
        <v>0</v>
      </c>
      <c r="H59">
        <v>79940.800000000003</v>
      </c>
      <c r="I59">
        <v>215356</v>
      </c>
      <c r="J59" t="str">
        <f t="shared" si="2"/>
        <v>windoff_wind</v>
      </c>
    </row>
    <row r="60" spans="1:10" x14ac:dyDescent="0.5">
      <c r="A60" t="s">
        <v>35</v>
      </c>
      <c r="B60" t="s">
        <v>2407</v>
      </c>
      <c r="C60" t="s">
        <v>2292</v>
      </c>
      <c r="D60" t="s">
        <v>35</v>
      </c>
      <c r="E60">
        <v>321117</v>
      </c>
      <c r="F60">
        <v>4275</v>
      </c>
      <c r="G60">
        <v>0</v>
      </c>
      <c r="H60">
        <v>1835.8</v>
      </c>
      <c r="I60">
        <v>305275.09999999998</v>
      </c>
      <c r="J60" t="str">
        <f t="shared" si="2"/>
        <v>windoff_wind</v>
      </c>
    </row>
    <row r="61" spans="1:10" x14ac:dyDescent="0.5">
      <c r="A61" t="s">
        <v>35</v>
      </c>
      <c r="B61" t="s">
        <v>95</v>
      </c>
      <c r="C61" t="s">
        <v>2293</v>
      </c>
      <c r="D61" t="s">
        <v>35</v>
      </c>
      <c r="E61">
        <v>340397.7</v>
      </c>
      <c r="F61">
        <v>205167.8</v>
      </c>
      <c r="G61">
        <v>4277.8999999999996</v>
      </c>
      <c r="H61">
        <v>922278.9</v>
      </c>
      <c r="I61">
        <v>627116.6</v>
      </c>
      <c r="J61" t="str">
        <f t="shared" si="2"/>
        <v>windon_wind</v>
      </c>
    </row>
    <row r="62" spans="1:10" x14ac:dyDescent="0.5">
      <c r="A62" t="s">
        <v>35</v>
      </c>
      <c r="B62" t="s">
        <v>96</v>
      </c>
      <c r="C62" t="s">
        <v>2293</v>
      </c>
      <c r="D62" t="s">
        <v>35</v>
      </c>
      <c r="E62">
        <v>102163.5</v>
      </c>
      <c r="F62">
        <v>439.2</v>
      </c>
      <c r="G62">
        <v>0</v>
      </c>
      <c r="H62">
        <v>667</v>
      </c>
      <c r="I62">
        <v>2264.5</v>
      </c>
      <c r="J62" t="str">
        <f t="shared" si="2"/>
        <v>windon_wind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2FAB-AF15-4D9E-BA16-045F960CC3D1}">
  <dimension ref="A1:C11"/>
  <sheetViews>
    <sheetView workbookViewId="0">
      <selection activeCell="C10" sqref="C10"/>
    </sheetView>
  </sheetViews>
  <sheetFormatPr defaultRowHeight="15.75" x14ac:dyDescent="0.5"/>
  <cols>
    <col min="1" max="1" width="19.3125" bestFit="1" customWidth="1"/>
    <col min="2" max="2" width="11.5" bestFit="1" customWidth="1"/>
    <col min="3" max="3" width="11" bestFit="1" customWidth="1"/>
  </cols>
  <sheetData>
    <row r="1" spans="1:3" x14ac:dyDescent="0.5">
      <c r="A1" t="s">
        <v>2408</v>
      </c>
      <c r="B1" t="s">
        <v>101</v>
      </c>
      <c r="C1" t="s">
        <v>2421</v>
      </c>
    </row>
    <row r="2" spans="1:3" x14ac:dyDescent="0.5">
      <c r="A2" t="s">
        <v>46</v>
      </c>
      <c r="B2" t="s">
        <v>2414</v>
      </c>
      <c r="C2">
        <v>2015</v>
      </c>
    </row>
    <row r="3" spans="1:3" x14ac:dyDescent="0.5">
      <c r="A3" t="s">
        <v>47</v>
      </c>
      <c r="B3" t="s">
        <v>2416</v>
      </c>
      <c r="C3">
        <v>2025</v>
      </c>
    </row>
    <row r="4" spans="1:3" x14ac:dyDescent="0.5">
      <c r="A4" t="s">
        <v>45</v>
      </c>
      <c r="B4" t="s">
        <v>2415</v>
      </c>
      <c r="C4">
        <v>2015</v>
      </c>
    </row>
    <row r="5" spans="1:3" x14ac:dyDescent="0.5">
      <c r="A5" t="s">
        <v>2409</v>
      </c>
      <c r="B5" t="s">
        <v>2417</v>
      </c>
      <c r="C5">
        <v>1950</v>
      </c>
    </row>
    <row r="6" spans="1:3" x14ac:dyDescent="0.5">
      <c r="A6" t="s">
        <v>43</v>
      </c>
      <c r="B6" t="s">
        <v>2418</v>
      </c>
      <c r="C6">
        <v>2025</v>
      </c>
    </row>
    <row r="7" spans="1:3" x14ac:dyDescent="0.5">
      <c r="A7" t="s">
        <v>2410</v>
      </c>
      <c r="B7" t="s">
        <v>2419</v>
      </c>
      <c r="C7">
        <v>2030</v>
      </c>
    </row>
    <row r="8" spans="1:3" x14ac:dyDescent="0.5">
      <c r="A8" t="s">
        <v>44</v>
      </c>
      <c r="B8" t="s">
        <v>2414</v>
      </c>
      <c r="C8">
        <v>2028</v>
      </c>
    </row>
    <row r="9" spans="1:3" x14ac:dyDescent="0.5">
      <c r="A9" t="s">
        <v>2411</v>
      </c>
      <c r="B9" t="s">
        <v>2419</v>
      </c>
      <c r="C9">
        <v>2028</v>
      </c>
    </row>
    <row r="10" spans="1:3" x14ac:dyDescent="0.5">
      <c r="A10" t="s">
        <v>2412</v>
      </c>
      <c r="B10" t="s">
        <v>2420</v>
      </c>
      <c r="C10">
        <v>2028</v>
      </c>
    </row>
    <row r="11" spans="1:3" x14ac:dyDescent="0.5">
      <c r="A11" t="s">
        <v>2413</v>
      </c>
      <c r="B11" t="s">
        <v>2420</v>
      </c>
      <c r="C11">
        <v>2028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22F3-A856-4FDC-8F59-4ADC345063B5}">
  <dimension ref="A1:D311"/>
  <sheetViews>
    <sheetView workbookViewId="0"/>
  </sheetViews>
  <sheetFormatPr defaultRowHeight="15.75" x14ac:dyDescent="0.5"/>
  <cols>
    <col min="1" max="1" width="9.125" bestFit="1" customWidth="1"/>
    <col min="2" max="2" width="4.875" bestFit="1" customWidth="1"/>
    <col min="3" max="3" width="39.75" bestFit="1" customWidth="1"/>
    <col min="4" max="4" width="5.125" bestFit="1" customWidth="1"/>
  </cols>
  <sheetData>
    <row r="1" spans="1:4" x14ac:dyDescent="0.5">
      <c r="A1" t="s">
        <v>102</v>
      </c>
      <c r="B1" t="s">
        <v>103</v>
      </c>
      <c r="C1" t="s">
        <v>104</v>
      </c>
      <c r="D1" t="s">
        <v>105</v>
      </c>
    </row>
    <row r="2" spans="1:4" x14ac:dyDescent="0.5">
      <c r="A2" t="s">
        <v>106</v>
      </c>
      <c r="B2">
        <v>4</v>
      </c>
      <c r="C2" t="s">
        <v>107</v>
      </c>
      <c r="D2" t="s">
        <v>108</v>
      </c>
    </row>
    <row r="3" spans="1:4" x14ac:dyDescent="0.5">
      <c r="A3" t="s">
        <v>106</v>
      </c>
      <c r="B3">
        <v>472</v>
      </c>
      <c r="C3" t="s">
        <v>109</v>
      </c>
      <c r="D3" t="s">
        <v>125</v>
      </c>
    </row>
    <row r="4" spans="1:4" x14ac:dyDescent="0.5">
      <c r="A4" t="s">
        <v>106</v>
      </c>
      <c r="B4">
        <v>577</v>
      </c>
      <c r="C4" t="s">
        <v>110</v>
      </c>
      <c r="D4" t="s">
        <v>125</v>
      </c>
    </row>
    <row r="5" spans="1:4" x14ac:dyDescent="0.5">
      <c r="A5" t="s">
        <v>106</v>
      </c>
      <c r="B5">
        <v>248</v>
      </c>
      <c r="C5" t="s">
        <v>111</v>
      </c>
      <c r="D5" t="s">
        <v>125</v>
      </c>
    </row>
    <row r="6" spans="1:4" x14ac:dyDescent="0.5">
      <c r="A6" t="s">
        <v>106</v>
      </c>
      <c r="B6">
        <v>8</v>
      </c>
      <c r="C6" t="s">
        <v>112</v>
      </c>
      <c r="D6" t="s">
        <v>113</v>
      </c>
    </row>
    <row r="7" spans="1:4" x14ac:dyDescent="0.5">
      <c r="A7" t="s">
        <v>106</v>
      </c>
      <c r="B7">
        <v>12</v>
      </c>
      <c r="C7" t="s">
        <v>114</v>
      </c>
      <c r="D7" t="s">
        <v>115</v>
      </c>
    </row>
    <row r="8" spans="1:4" x14ac:dyDescent="0.5">
      <c r="A8" t="s">
        <v>106</v>
      </c>
      <c r="B8">
        <v>16</v>
      </c>
      <c r="C8" t="s">
        <v>116</v>
      </c>
      <c r="D8" t="s">
        <v>117</v>
      </c>
    </row>
    <row r="9" spans="1:4" x14ac:dyDescent="0.5">
      <c r="A9" t="s">
        <v>106</v>
      </c>
      <c r="B9">
        <v>20</v>
      </c>
      <c r="C9" t="s">
        <v>118</v>
      </c>
      <c r="D9" t="s">
        <v>119</v>
      </c>
    </row>
    <row r="10" spans="1:4" x14ac:dyDescent="0.5">
      <c r="A10" t="s">
        <v>106</v>
      </c>
      <c r="B10">
        <v>24</v>
      </c>
      <c r="C10" t="s">
        <v>120</v>
      </c>
      <c r="D10" t="s">
        <v>121</v>
      </c>
    </row>
    <row r="11" spans="1:4" x14ac:dyDescent="0.5">
      <c r="A11" t="s">
        <v>106</v>
      </c>
      <c r="B11">
        <v>660</v>
      </c>
      <c r="C11" t="s">
        <v>122</v>
      </c>
      <c r="D11" t="s">
        <v>123</v>
      </c>
    </row>
    <row r="12" spans="1:4" x14ac:dyDescent="0.5">
      <c r="A12" t="s">
        <v>106</v>
      </c>
      <c r="B12">
        <v>10</v>
      </c>
      <c r="C12" t="s">
        <v>124</v>
      </c>
      <c r="D12" t="s">
        <v>125</v>
      </c>
    </row>
    <row r="13" spans="1:4" x14ac:dyDescent="0.5">
      <c r="A13" t="s">
        <v>106</v>
      </c>
      <c r="B13">
        <v>28</v>
      </c>
      <c r="C13" t="s">
        <v>126</v>
      </c>
      <c r="D13" t="s">
        <v>127</v>
      </c>
    </row>
    <row r="14" spans="1:4" x14ac:dyDescent="0.5">
      <c r="A14" t="s">
        <v>106</v>
      </c>
      <c r="B14">
        <v>899</v>
      </c>
      <c r="C14" t="s">
        <v>128</v>
      </c>
      <c r="D14" t="s">
        <v>125</v>
      </c>
    </row>
    <row r="15" spans="1:4" x14ac:dyDescent="0.5">
      <c r="A15" t="s">
        <v>106</v>
      </c>
      <c r="B15">
        <v>32</v>
      </c>
      <c r="C15" t="s">
        <v>129</v>
      </c>
      <c r="D15" t="s">
        <v>130</v>
      </c>
    </row>
    <row r="16" spans="1:4" x14ac:dyDescent="0.5">
      <c r="A16" t="s">
        <v>106</v>
      </c>
      <c r="B16">
        <v>51</v>
      </c>
      <c r="C16" t="s">
        <v>131</v>
      </c>
      <c r="D16" t="s">
        <v>132</v>
      </c>
    </row>
    <row r="17" spans="1:4" x14ac:dyDescent="0.5">
      <c r="A17" t="s">
        <v>106</v>
      </c>
      <c r="B17">
        <v>533</v>
      </c>
      <c r="C17" t="s">
        <v>133</v>
      </c>
      <c r="D17" t="s">
        <v>134</v>
      </c>
    </row>
    <row r="18" spans="1:4" x14ac:dyDescent="0.5">
      <c r="A18" t="s">
        <v>106</v>
      </c>
      <c r="B18">
        <v>975</v>
      </c>
      <c r="C18" t="s">
        <v>135</v>
      </c>
      <c r="D18" t="s">
        <v>125</v>
      </c>
    </row>
    <row r="19" spans="1:4" x14ac:dyDescent="0.5">
      <c r="A19" t="s">
        <v>106</v>
      </c>
      <c r="B19">
        <v>490</v>
      </c>
      <c r="C19" t="s">
        <v>136</v>
      </c>
      <c r="D19" t="s">
        <v>125</v>
      </c>
    </row>
    <row r="20" spans="1:4" x14ac:dyDescent="0.5">
      <c r="A20" t="s">
        <v>106</v>
      </c>
      <c r="B20">
        <v>36</v>
      </c>
      <c r="C20" t="s">
        <v>137</v>
      </c>
      <c r="D20" t="s">
        <v>138</v>
      </c>
    </row>
    <row r="21" spans="1:4" x14ac:dyDescent="0.5">
      <c r="A21" t="s">
        <v>106</v>
      </c>
      <c r="B21">
        <v>40</v>
      </c>
      <c r="C21" t="s">
        <v>139</v>
      </c>
      <c r="D21" t="s">
        <v>140</v>
      </c>
    </row>
    <row r="22" spans="1:4" x14ac:dyDescent="0.5">
      <c r="A22" t="s">
        <v>106</v>
      </c>
      <c r="B22">
        <v>31</v>
      </c>
      <c r="C22" t="s">
        <v>141</v>
      </c>
      <c r="D22" t="s">
        <v>142</v>
      </c>
    </row>
    <row r="23" spans="1:4" x14ac:dyDescent="0.5">
      <c r="A23" t="s">
        <v>106</v>
      </c>
      <c r="B23">
        <v>44</v>
      </c>
      <c r="C23" t="s">
        <v>143</v>
      </c>
      <c r="D23" t="s">
        <v>144</v>
      </c>
    </row>
    <row r="24" spans="1:4" x14ac:dyDescent="0.5">
      <c r="A24" t="s">
        <v>106</v>
      </c>
      <c r="B24">
        <v>48</v>
      </c>
      <c r="C24" t="s">
        <v>145</v>
      </c>
      <c r="D24" t="s">
        <v>146</v>
      </c>
    </row>
    <row r="25" spans="1:4" x14ac:dyDescent="0.5">
      <c r="A25" t="s">
        <v>106</v>
      </c>
      <c r="B25">
        <v>50</v>
      </c>
      <c r="C25" t="s">
        <v>147</v>
      </c>
      <c r="D25" t="s">
        <v>148</v>
      </c>
    </row>
    <row r="26" spans="1:4" x14ac:dyDescent="0.5">
      <c r="A26" t="s">
        <v>106</v>
      </c>
      <c r="B26">
        <v>52</v>
      </c>
      <c r="C26" t="s">
        <v>149</v>
      </c>
      <c r="D26" t="s">
        <v>150</v>
      </c>
    </row>
    <row r="27" spans="1:4" x14ac:dyDescent="0.5">
      <c r="A27" t="s">
        <v>106</v>
      </c>
      <c r="B27">
        <v>112</v>
      </c>
      <c r="C27" t="s">
        <v>151</v>
      </c>
      <c r="D27" t="s">
        <v>152</v>
      </c>
    </row>
    <row r="28" spans="1:4" x14ac:dyDescent="0.5">
      <c r="A28" t="s">
        <v>106</v>
      </c>
      <c r="B28">
        <v>56</v>
      </c>
      <c r="C28" t="s">
        <v>153</v>
      </c>
      <c r="D28" t="s">
        <v>154</v>
      </c>
    </row>
    <row r="29" spans="1:4" x14ac:dyDescent="0.5">
      <c r="A29" t="s">
        <v>106</v>
      </c>
      <c r="B29">
        <v>58</v>
      </c>
      <c r="C29" t="s">
        <v>155</v>
      </c>
      <c r="D29" t="s">
        <v>154</v>
      </c>
    </row>
    <row r="30" spans="1:4" x14ac:dyDescent="0.5">
      <c r="A30" t="s">
        <v>106</v>
      </c>
      <c r="B30">
        <v>84</v>
      </c>
      <c r="C30" t="s">
        <v>156</v>
      </c>
      <c r="D30" t="s">
        <v>157</v>
      </c>
    </row>
    <row r="31" spans="1:4" x14ac:dyDescent="0.5">
      <c r="A31" t="s">
        <v>106</v>
      </c>
      <c r="B31">
        <v>204</v>
      </c>
      <c r="C31" t="s">
        <v>158</v>
      </c>
      <c r="D31" t="s">
        <v>159</v>
      </c>
    </row>
    <row r="32" spans="1:4" x14ac:dyDescent="0.5">
      <c r="A32" t="s">
        <v>106</v>
      </c>
      <c r="B32">
        <v>60</v>
      </c>
      <c r="C32" t="s">
        <v>160</v>
      </c>
      <c r="D32" t="s">
        <v>161</v>
      </c>
    </row>
    <row r="33" spans="1:4" x14ac:dyDescent="0.5">
      <c r="A33" t="s">
        <v>106</v>
      </c>
      <c r="B33">
        <v>64</v>
      </c>
      <c r="C33" t="s">
        <v>162</v>
      </c>
      <c r="D33" t="s">
        <v>163</v>
      </c>
    </row>
    <row r="34" spans="1:4" x14ac:dyDescent="0.5">
      <c r="A34" t="s">
        <v>106</v>
      </c>
      <c r="B34">
        <v>68</v>
      </c>
      <c r="C34" t="s">
        <v>164</v>
      </c>
      <c r="D34" t="s">
        <v>165</v>
      </c>
    </row>
    <row r="35" spans="1:4" x14ac:dyDescent="0.5">
      <c r="A35" t="s">
        <v>106</v>
      </c>
      <c r="B35">
        <v>535</v>
      </c>
      <c r="C35" t="s">
        <v>166</v>
      </c>
      <c r="D35" t="s">
        <v>125</v>
      </c>
    </row>
    <row r="36" spans="1:4" x14ac:dyDescent="0.5">
      <c r="A36" t="s">
        <v>106</v>
      </c>
      <c r="B36">
        <v>70</v>
      </c>
      <c r="C36" t="s">
        <v>167</v>
      </c>
      <c r="D36" t="s">
        <v>168</v>
      </c>
    </row>
    <row r="37" spans="1:4" x14ac:dyDescent="0.5">
      <c r="A37" t="s">
        <v>106</v>
      </c>
      <c r="B37">
        <v>72</v>
      </c>
      <c r="C37" t="s">
        <v>169</v>
      </c>
      <c r="D37" t="s">
        <v>170</v>
      </c>
    </row>
    <row r="38" spans="1:4" x14ac:dyDescent="0.5">
      <c r="A38" t="s">
        <v>106</v>
      </c>
      <c r="B38">
        <v>74</v>
      </c>
      <c r="C38" t="s">
        <v>171</v>
      </c>
      <c r="D38" t="s">
        <v>125</v>
      </c>
    </row>
    <row r="39" spans="1:4" x14ac:dyDescent="0.5">
      <c r="A39" t="s">
        <v>106</v>
      </c>
      <c r="B39">
        <v>76</v>
      </c>
      <c r="C39" t="s">
        <v>172</v>
      </c>
      <c r="D39" t="s">
        <v>173</v>
      </c>
    </row>
    <row r="40" spans="1:4" x14ac:dyDescent="0.5">
      <c r="A40" t="s">
        <v>106</v>
      </c>
      <c r="B40">
        <v>80</v>
      </c>
      <c r="C40" t="s">
        <v>174</v>
      </c>
      <c r="D40" t="s">
        <v>125</v>
      </c>
    </row>
    <row r="41" spans="1:4" x14ac:dyDescent="0.5">
      <c r="A41" t="s">
        <v>106</v>
      </c>
      <c r="B41">
        <v>86</v>
      </c>
      <c r="C41" t="s">
        <v>175</v>
      </c>
      <c r="D41" t="s">
        <v>125</v>
      </c>
    </row>
    <row r="42" spans="1:4" x14ac:dyDescent="0.5">
      <c r="A42" t="s">
        <v>106</v>
      </c>
      <c r="B42">
        <v>92</v>
      </c>
      <c r="C42" t="s">
        <v>176</v>
      </c>
      <c r="D42" t="s">
        <v>177</v>
      </c>
    </row>
    <row r="43" spans="1:4" x14ac:dyDescent="0.5">
      <c r="A43" t="s">
        <v>106</v>
      </c>
      <c r="B43">
        <v>96</v>
      </c>
      <c r="C43" t="s">
        <v>178</v>
      </c>
      <c r="D43" t="s">
        <v>179</v>
      </c>
    </row>
    <row r="44" spans="1:4" x14ac:dyDescent="0.5">
      <c r="A44" t="s">
        <v>106</v>
      </c>
      <c r="B44">
        <v>100</v>
      </c>
      <c r="C44" t="s">
        <v>180</v>
      </c>
      <c r="D44" t="s">
        <v>181</v>
      </c>
    </row>
    <row r="45" spans="1:4" x14ac:dyDescent="0.5">
      <c r="A45" t="s">
        <v>106</v>
      </c>
      <c r="B45">
        <v>837</v>
      </c>
      <c r="C45" t="s">
        <v>182</v>
      </c>
      <c r="D45" t="s">
        <v>641</v>
      </c>
    </row>
    <row r="46" spans="1:4" x14ac:dyDescent="0.5">
      <c r="A46" t="s">
        <v>106</v>
      </c>
      <c r="B46">
        <v>854</v>
      </c>
      <c r="C46" t="s">
        <v>183</v>
      </c>
      <c r="D46" t="s">
        <v>184</v>
      </c>
    </row>
    <row r="47" spans="1:4" x14ac:dyDescent="0.5">
      <c r="A47" t="s">
        <v>106</v>
      </c>
      <c r="B47">
        <v>108</v>
      </c>
      <c r="C47" t="s">
        <v>185</v>
      </c>
      <c r="D47" t="s">
        <v>186</v>
      </c>
    </row>
    <row r="48" spans="1:4" x14ac:dyDescent="0.5">
      <c r="A48" t="s">
        <v>106</v>
      </c>
      <c r="B48">
        <v>116</v>
      </c>
      <c r="C48" t="s">
        <v>187</v>
      </c>
      <c r="D48" t="s">
        <v>188</v>
      </c>
    </row>
    <row r="49" spans="1:4" x14ac:dyDescent="0.5">
      <c r="A49" t="s">
        <v>106</v>
      </c>
      <c r="B49">
        <v>120</v>
      </c>
      <c r="C49" t="s">
        <v>189</v>
      </c>
      <c r="D49" t="s">
        <v>190</v>
      </c>
    </row>
    <row r="50" spans="1:4" x14ac:dyDescent="0.5">
      <c r="A50" t="s">
        <v>106</v>
      </c>
      <c r="B50">
        <v>124</v>
      </c>
      <c r="C50" t="s">
        <v>191</v>
      </c>
      <c r="D50" t="s">
        <v>192</v>
      </c>
    </row>
    <row r="51" spans="1:4" x14ac:dyDescent="0.5">
      <c r="A51" t="s">
        <v>106</v>
      </c>
      <c r="B51">
        <v>132</v>
      </c>
      <c r="C51" t="s">
        <v>193</v>
      </c>
      <c r="D51" t="s">
        <v>194</v>
      </c>
    </row>
    <row r="52" spans="1:4" x14ac:dyDescent="0.5">
      <c r="A52" t="s">
        <v>106</v>
      </c>
      <c r="B52">
        <v>129</v>
      </c>
      <c r="C52" t="s">
        <v>195</v>
      </c>
      <c r="D52" t="s">
        <v>125</v>
      </c>
    </row>
    <row r="53" spans="1:4" x14ac:dyDescent="0.5">
      <c r="A53" t="s">
        <v>106</v>
      </c>
      <c r="B53">
        <v>136</v>
      </c>
      <c r="C53" t="s">
        <v>196</v>
      </c>
      <c r="D53" t="s">
        <v>197</v>
      </c>
    </row>
    <row r="54" spans="1:4" x14ac:dyDescent="0.5">
      <c r="A54" t="s">
        <v>106</v>
      </c>
      <c r="B54">
        <v>140</v>
      </c>
      <c r="C54" t="s">
        <v>198</v>
      </c>
      <c r="D54" t="s">
        <v>199</v>
      </c>
    </row>
    <row r="55" spans="1:4" x14ac:dyDescent="0.5">
      <c r="A55" t="s">
        <v>106</v>
      </c>
      <c r="B55">
        <v>148</v>
      </c>
      <c r="C55" t="s">
        <v>200</v>
      </c>
      <c r="D55" t="s">
        <v>201</v>
      </c>
    </row>
    <row r="56" spans="1:4" x14ac:dyDescent="0.5">
      <c r="A56" t="s">
        <v>106</v>
      </c>
      <c r="B56">
        <v>152</v>
      </c>
      <c r="C56" t="s">
        <v>202</v>
      </c>
      <c r="D56" t="s">
        <v>203</v>
      </c>
    </row>
    <row r="57" spans="1:4" x14ac:dyDescent="0.5">
      <c r="A57" t="s">
        <v>106</v>
      </c>
      <c r="B57">
        <v>156</v>
      </c>
      <c r="C57" t="s">
        <v>204</v>
      </c>
      <c r="D57" t="s">
        <v>205</v>
      </c>
    </row>
    <row r="58" spans="1:4" x14ac:dyDescent="0.5">
      <c r="A58" t="s">
        <v>106</v>
      </c>
      <c r="B58">
        <v>344</v>
      </c>
      <c r="C58" t="s">
        <v>206</v>
      </c>
      <c r="D58" t="s">
        <v>642</v>
      </c>
    </row>
    <row r="59" spans="1:4" x14ac:dyDescent="0.5">
      <c r="A59" t="s">
        <v>106</v>
      </c>
      <c r="B59">
        <v>446</v>
      </c>
      <c r="C59" t="s">
        <v>207</v>
      </c>
      <c r="D59" t="s">
        <v>643</v>
      </c>
    </row>
    <row r="60" spans="1:4" x14ac:dyDescent="0.5">
      <c r="A60" t="s">
        <v>106</v>
      </c>
      <c r="B60">
        <v>162</v>
      </c>
      <c r="C60" t="s">
        <v>208</v>
      </c>
      <c r="D60" t="s">
        <v>138</v>
      </c>
    </row>
    <row r="61" spans="1:4" x14ac:dyDescent="0.5">
      <c r="A61" t="s">
        <v>106</v>
      </c>
      <c r="B61">
        <v>166</v>
      </c>
      <c r="C61" t="s">
        <v>209</v>
      </c>
      <c r="D61" t="s">
        <v>125</v>
      </c>
    </row>
    <row r="62" spans="1:4" x14ac:dyDescent="0.5">
      <c r="A62" t="s">
        <v>106</v>
      </c>
      <c r="B62">
        <v>170</v>
      </c>
      <c r="C62" t="s">
        <v>210</v>
      </c>
      <c r="D62" t="s">
        <v>211</v>
      </c>
    </row>
    <row r="63" spans="1:4" x14ac:dyDescent="0.5">
      <c r="A63" t="s">
        <v>106</v>
      </c>
      <c r="B63">
        <v>174</v>
      </c>
      <c r="C63" t="s">
        <v>212</v>
      </c>
      <c r="D63" t="s">
        <v>213</v>
      </c>
    </row>
    <row r="64" spans="1:4" x14ac:dyDescent="0.5">
      <c r="A64" t="s">
        <v>106</v>
      </c>
      <c r="B64">
        <v>178</v>
      </c>
      <c r="C64" t="s">
        <v>214</v>
      </c>
      <c r="D64" t="s">
        <v>215</v>
      </c>
    </row>
    <row r="65" spans="1:4" x14ac:dyDescent="0.5">
      <c r="A65" t="s">
        <v>106</v>
      </c>
      <c r="B65">
        <v>184</v>
      </c>
      <c r="C65" t="s">
        <v>216</v>
      </c>
      <c r="D65" t="s">
        <v>217</v>
      </c>
    </row>
    <row r="66" spans="1:4" x14ac:dyDescent="0.5">
      <c r="A66" t="s">
        <v>106</v>
      </c>
      <c r="B66">
        <v>188</v>
      </c>
      <c r="C66" t="s">
        <v>218</v>
      </c>
      <c r="D66" t="s">
        <v>219</v>
      </c>
    </row>
    <row r="67" spans="1:4" x14ac:dyDescent="0.5">
      <c r="A67" t="s">
        <v>106</v>
      </c>
      <c r="B67">
        <v>384</v>
      </c>
      <c r="C67" t="s">
        <v>220</v>
      </c>
      <c r="D67" t="s">
        <v>221</v>
      </c>
    </row>
    <row r="68" spans="1:4" x14ac:dyDescent="0.5">
      <c r="A68" t="s">
        <v>106</v>
      </c>
      <c r="B68">
        <v>191</v>
      </c>
      <c r="C68" t="s">
        <v>222</v>
      </c>
      <c r="D68" t="s">
        <v>223</v>
      </c>
    </row>
    <row r="69" spans="1:4" x14ac:dyDescent="0.5">
      <c r="A69" t="s">
        <v>106</v>
      </c>
      <c r="B69">
        <v>192</v>
      </c>
      <c r="C69" t="s">
        <v>224</v>
      </c>
      <c r="D69" t="s">
        <v>225</v>
      </c>
    </row>
    <row r="70" spans="1:4" x14ac:dyDescent="0.5">
      <c r="A70" t="s">
        <v>106</v>
      </c>
      <c r="B70">
        <v>531</v>
      </c>
      <c r="C70" t="s">
        <v>226</v>
      </c>
      <c r="D70" t="s">
        <v>125</v>
      </c>
    </row>
    <row r="71" spans="1:4" x14ac:dyDescent="0.5">
      <c r="A71" t="s">
        <v>106</v>
      </c>
      <c r="B71">
        <v>196</v>
      </c>
      <c r="C71" t="s">
        <v>227</v>
      </c>
      <c r="D71" t="s">
        <v>228</v>
      </c>
    </row>
    <row r="72" spans="1:4" x14ac:dyDescent="0.5">
      <c r="A72" t="s">
        <v>106</v>
      </c>
      <c r="B72">
        <v>203</v>
      </c>
      <c r="C72" t="s">
        <v>229</v>
      </c>
      <c r="D72" t="s">
        <v>230</v>
      </c>
    </row>
    <row r="73" spans="1:4" x14ac:dyDescent="0.5">
      <c r="A73" t="s">
        <v>106</v>
      </c>
      <c r="B73">
        <v>408</v>
      </c>
      <c r="C73" t="s">
        <v>231</v>
      </c>
      <c r="D73" t="s">
        <v>232</v>
      </c>
    </row>
    <row r="74" spans="1:4" x14ac:dyDescent="0.5">
      <c r="A74" t="s">
        <v>106</v>
      </c>
      <c r="B74">
        <v>180</v>
      </c>
      <c r="C74" t="s">
        <v>233</v>
      </c>
      <c r="D74" t="s">
        <v>234</v>
      </c>
    </row>
    <row r="75" spans="1:4" x14ac:dyDescent="0.5">
      <c r="A75" t="s">
        <v>106</v>
      </c>
      <c r="B75">
        <v>208</v>
      </c>
      <c r="C75" t="s">
        <v>235</v>
      </c>
      <c r="D75" t="s">
        <v>236</v>
      </c>
    </row>
    <row r="76" spans="1:4" x14ac:dyDescent="0.5">
      <c r="A76" t="s">
        <v>106</v>
      </c>
      <c r="B76">
        <v>262</v>
      </c>
      <c r="C76" t="s">
        <v>237</v>
      </c>
      <c r="D76" t="s">
        <v>238</v>
      </c>
    </row>
    <row r="77" spans="1:4" x14ac:dyDescent="0.5">
      <c r="A77" t="s">
        <v>106</v>
      </c>
      <c r="B77">
        <v>212</v>
      </c>
      <c r="C77" t="s">
        <v>239</v>
      </c>
      <c r="D77" t="s">
        <v>240</v>
      </c>
    </row>
    <row r="78" spans="1:4" x14ac:dyDescent="0.5">
      <c r="A78" t="s">
        <v>106</v>
      </c>
      <c r="B78">
        <v>214</v>
      </c>
      <c r="C78" t="s">
        <v>241</v>
      </c>
      <c r="D78" t="s">
        <v>242</v>
      </c>
    </row>
    <row r="79" spans="1:4" x14ac:dyDescent="0.5">
      <c r="A79" t="s">
        <v>106</v>
      </c>
      <c r="B79">
        <v>588</v>
      </c>
      <c r="C79" t="s">
        <v>243</v>
      </c>
      <c r="D79" t="s">
        <v>472</v>
      </c>
    </row>
    <row r="80" spans="1:4" x14ac:dyDescent="0.5">
      <c r="A80" t="s">
        <v>106</v>
      </c>
      <c r="B80">
        <v>221</v>
      </c>
      <c r="C80" t="s">
        <v>244</v>
      </c>
      <c r="D80" t="s">
        <v>125</v>
      </c>
    </row>
    <row r="81" spans="1:4" x14ac:dyDescent="0.5">
      <c r="A81" t="s">
        <v>106</v>
      </c>
      <c r="B81">
        <v>218</v>
      </c>
      <c r="C81" t="s">
        <v>245</v>
      </c>
      <c r="D81" t="s">
        <v>246</v>
      </c>
    </row>
    <row r="82" spans="1:4" x14ac:dyDescent="0.5">
      <c r="A82" t="s">
        <v>106</v>
      </c>
      <c r="B82">
        <v>818</v>
      </c>
      <c r="C82" t="s">
        <v>247</v>
      </c>
      <c r="D82" t="s">
        <v>248</v>
      </c>
    </row>
    <row r="83" spans="1:4" x14ac:dyDescent="0.5">
      <c r="A83" t="s">
        <v>106</v>
      </c>
      <c r="B83">
        <v>222</v>
      </c>
      <c r="C83" t="s">
        <v>249</v>
      </c>
      <c r="D83" t="s">
        <v>250</v>
      </c>
    </row>
    <row r="84" spans="1:4" x14ac:dyDescent="0.5">
      <c r="A84" t="s">
        <v>106</v>
      </c>
      <c r="B84">
        <v>226</v>
      </c>
      <c r="C84" t="s">
        <v>251</v>
      </c>
      <c r="D84" t="s">
        <v>252</v>
      </c>
    </row>
    <row r="85" spans="1:4" x14ac:dyDescent="0.5">
      <c r="A85" t="s">
        <v>106</v>
      </c>
      <c r="B85">
        <v>232</v>
      </c>
      <c r="C85" t="s">
        <v>253</v>
      </c>
      <c r="D85" t="s">
        <v>254</v>
      </c>
    </row>
    <row r="86" spans="1:4" x14ac:dyDescent="0.5">
      <c r="A86" t="s">
        <v>106</v>
      </c>
      <c r="B86">
        <v>233</v>
      </c>
      <c r="C86" t="s">
        <v>255</v>
      </c>
      <c r="D86" t="s">
        <v>256</v>
      </c>
    </row>
    <row r="87" spans="1:4" x14ac:dyDescent="0.5">
      <c r="A87" t="s">
        <v>106</v>
      </c>
      <c r="B87">
        <v>748</v>
      </c>
      <c r="C87" t="s">
        <v>257</v>
      </c>
      <c r="D87" t="s">
        <v>258</v>
      </c>
    </row>
    <row r="88" spans="1:4" x14ac:dyDescent="0.5">
      <c r="A88" t="s">
        <v>106</v>
      </c>
      <c r="B88">
        <v>231</v>
      </c>
      <c r="C88" t="s">
        <v>259</v>
      </c>
      <c r="D88" t="s">
        <v>260</v>
      </c>
    </row>
    <row r="89" spans="1:4" x14ac:dyDescent="0.5">
      <c r="A89" t="s">
        <v>106</v>
      </c>
      <c r="B89">
        <v>697</v>
      </c>
      <c r="C89" t="s">
        <v>261</v>
      </c>
      <c r="D89" t="s">
        <v>125</v>
      </c>
    </row>
    <row r="90" spans="1:4" x14ac:dyDescent="0.5">
      <c r="A90" t="s">
        <v>106</v>
      </c>
      <c r="B90">
        <v>568</v>
      </c>
      <c r="C90" t="s">
        <v>262</v>
      </c>
      <c r="D90" t="s">
        <v>125</v>
      </c>
    </row>
    <row r="91" spans="1:4" x14ac:dyDescent="0.5">
      <c r="A91" t="s">
        <v>106</v>
      </c>
      <c r="B91">
        <v>97</v>
      </c>
      <c r="C91" t="s">
        <v>263</v>
      </c>
      <c r="D91" t="s">
        <v>125</v>
      </c>
    </row>
    <row r="92" spans="1:4" x14ac:dyDescent="0.5">
      <c r="A92" t="s">
        <v>106</v>
      </c>
      <c r="B92">
        <v>234</v>
      </c>
      <c r="C92" t="s">
        <v>264</v>
      </c>
      <c r="D92" t="s">
        <v>265</v>
      </c>
    </row>
    <row r="93" spans="1:4" x14ac:dyDescent="0.5">
      <c r="A93" t="s">
        <v>106</v>
      </c>
      <c r="B93">
        <v>238</v>
      </c>
      <c r="C93" t="s">
        <v>266</v>
      </c>
      <c r="D93" t="s">
        <v>267</v>
      </c>
    </row>
    <row r="94" spans="1:4" x14ac:dyDescent="0.5">
      <c r="A94" t="s">
        <v>106</v>
      </c>
      <c r="B94">
        <v>242</v>
      </c>
      <c r="C94" t="s">
        <v>268</v>
      </c>
      <c r="D94" t="s">
        <v>269</v>
      </c>
    </row>
    <row r="95" spans="1:4" x14ac:dyDescent="0.5">
      <c r="A95" t="s">
        <v>106</v>
      </c>
      <c r="B95">
        <v>246</v>
      </c>
      <c r="C95" t="s">
        <v>270</v>
      </c>
      <c r="D95" t="s">
        <v>271</v>
      </c>
    </row>
    <row r="96" spans="1:4" x14ac:dyDescent="0.5">
      <c r="A96" t="s">
        <v>106</v>
      </c>
      <c r="B96">
        <v>886</v>
      </c>
      <c r="C96" t="s">
        <v>272</v>
      </c>
      <c r="D96" t="s">
        <v>125</v>
      </c>
    </row>
    <row r="97" spans="1:4" x14ac:dyDescent="0.5">
      <c r="A97" t="s">
        <v>106</v>
      </c>
      <c r="B97">
        <v>200</v>
      </c>
      <c r="C97" t="s">
        <v>273</v>
      </c>
      <c r="D97" t="s">
        <v>125</v>
      </c>
    </row>
    <row r="98" spans="1:4" x14ac:dyDescent="0.5">
      <c r="A98" t="s">
        <v>106</v>
      </c>
      <c r="B98">
        <v>278</v>
      </c>
      <c r="C98" t="s">
        <v>274</v>
      </c>
      <c r="D98" t="s">
        <v>125</v>
      </c>
    </row>
    <row r="99" spans="1:4" x14ac:dyDescent="0.5">
      <c r="A99" t="s">
        <v>106</v>
      </c>
      <c r="B99">
        <v>866</v>
      </c>
      <c r="C99" t="s">
        <v>275</v>
      </c>
      <c r="D99" t="s">
        <v>125</v>
      </c>
    </row>
    <row r="100" spans="1:4" x14ac:dyDescent="0.5">
      <c r="A100" t="s">
        <v>106</v>
      </c>
      <c r="B100">
        <v>720</v>
      </c>
      <c r="C100" t="s">
        <v>276</v>
      </c>
      <c r="D100" t="s">
        <v>125</v>
      </c>
    </row>
    <row r="101" spans="1:4" x14ac:dyDescent="0.5">
      <c r="A101" t="s">
        <v>106</v>
      </c>
      <c r="B101">
        <v>230</v>
      </c>
      <c r="C101" t="s">
        <v>277</v>
      </c>
      <c r="D101" t="s">
        <v>125</v>
      </c>
    </row>
    <row r="102" spans="1:4" x14ac:dyDescent="0.5">
      <c r="A102" t="s">
        <v>106</v>
      </c>
      <c r="B102">
        <v>280</v>
      </c>
      <c r="C102" t="s">
        <v>278</v>
      </c>
      <c r="D102" t="s">
        <v>125</v>
      </c>
    </row>
    <row r="103" spans="1:4" x14ac:dyDescent="0.5">
      <c r="A103" t="s">
        <v>106</v>
      </c>
      <c r="B103">
        <v>530</v>
      </c>
      <c r="C103" t="s">
        <v>279</v>
      </c>
      <c r="D103" t="s">
        <v>125</v>
      </c>
    </row>
    <row r="104" spans="1:4" x14ac:dyDescent="0.5">
      <c r="A104" t="s">
        <v>106</v>
      </c>
      <c r="B104">
        <v>532</v>
      </c>
      <c r="C104" t="s">
        <v>280</v>
      </c>
      <c r="D104" t="s">
        <v>125</v>
      </c>
    </row>
    <row r="105" spans="1:4" x14ac:dyDescent="0.5">
      <c r="A105" t="s">
        <v>106</v>
      </c>
      <c r="B105">
        <v>582</v>
      </c>
      <c r="C105" t="s">
        <v>281</v>
      </c>
      <c r="D105" t="s">
        <v>125</v>
      </c>
    </row>
    <row r="106" spans="1:4" x14ac:dyDescent="0.5">
      <c r="A106" t="s">
        <v>106</v>
      </c>
      <c r="B106">
        <v>590</v>
      </c>
      <c r="C106" t="s">
        <v>282</v>
      </c>
      <c r="D106" t="s">
        <v>125</v>
      </c>
    </row>
    <row r="107" spans="1:4" x14ac:dyDescent="0.5">
      <c r="A107" t="s">
        <v>106</v>
      </c>
      <c r="B107">
        <v>592</v>
      </c>
      <c r="C107" t="s">
        <v>283</v>
      </c>
      <c r="D107" t="s">
        <v>125</v>
      </c>
    </row>
    <row r="108" spans="1:4" x14ac:dyDescent="0.5">
      <c r="A108" t="s">
        <v>106</v>
      </c>
      <c r="B108">
        <v>868</v>
      </c>
      <c r="C108" t="s">
        <v>284</v>
      </c>
      <c r="D108" t="s">
        <v>125</v>
      </c>
    </row>
    <row r="109" spans="1:4" x14ac:dyDescent="0.5">
      <c r="A109" t="s">
        <v>106</v>
      </c>
      <c r="B109">
        <v>717</v>
      </c>
      <c r="C109" t="s">
        <v>285</v>
      </c>
      <c r="D109" t="s">
        <v>125</v>
      </c>
    </row>
    <row r="110" spans="1:4" x14ac:dyDescent="0.5">
      <c r="A110" t="s">
        <v>106</v>
      </c>
      <c r="B110">
        <v>891</v>
      </c>
      <c r="C110" t="s">
        <v>286</v>
      </c>
      <c r="D110" t="s">
        <v>125</v>
      </c>
    </row>
    <row r="111" spans="1:4" x14ac:dyDescent="0.5">
      <c r="A111" t="s">
        <v>106</v>
      </c>
      <c r="B111">
        <v>736</v>
      </c>
      <c r="C111" t="s">
        <v>287</v>
      </c>
      <c r="D111" t="s">
        <v>125</v>
      </c>
    </row>
    <row r="112" spans="1:4" x14ac:dyDescent="0.5">
      <c r="A112" t="s">
        <v>106</v>
      </c>
      <c r="B112">
        <v>835</v>
      </c>
      <c r="C112" t="s">
        <v>288</v>
      </c>
      <c r="D112" t="s">
        <v>125</v>
      </c>
    </row>
    <row r="113" spans="1:4" x14ac:dyDescent="0.5">
      <c r="A113" t="s">
        <v>106</v>
      </c>
      <c r="B113">
        <v>810</v>
      </c>
      <c r="C113" t="s">
        <v>289</v>
      </c>
      <c r="D113" t="s">
        <v>125</v>
      </c>
    </row>
    <row r="114" spans="1:4" x14ac:dyDescent="0.5">
      <c r="A114" t="s">
        <v>106</v>
      </c>
      <c r="B114">
        <v>890</v>
      </c>
      <c r="C114" t="s">
        <v>290</v>
      </c>
      <c r="D114" t="s">
        <v>125</v>
      </c>
    </row>
    <row r="115" spans="1:4" x14ac:dyDescent="0.5">
      <c r="A115" t="s">
        <v>106</v>
      </c>
      <c r="B115">
        <v>836</v>
      </c>
      <c r="C115" t="s">
        <v>291</v>
      </c>
      <c r="D115" t="s">
        <v>125</v>
      </c>
    </row>
    <row r="116" spans="1:4" x14ac:dyDescent="0.5">
      <c r="A116" t="s">
        <v>106</v>
      </c>
      <c r="B116">
        <v>250</v>
      </c>
      <c r="C116" t="s">
        <v>292</v>
      </c>
      <c r="D116" t="s">
        <v>293</v>
      </c>
    </row>
    <row r="117" spans="1:4" x14ac:dyDescent="0.5">
      <c r="A117" t="s">
        <v>106</v>
      </c>
      <c r="B117">
        <v>251</v>
      </c>
      <c r="C117" t="s">
        <v>294</v>
      </c>
      <c r="D117" t="s">
        <v>423</v>
      </c>
    </row>
    <row r="118" spans="1:4" x14ac:dyDescent="0.5">
      <c r="A118" t="s">
        <v>106</v>
      </c>
      <c r="B118">
        <v>838</v>
      </c>
      <c r="C118" t="s">
        <v>295</v>
      </c>
      <c r="D118" t="s">
        <v>125</v>
      </c>
    </row>
    <row r="119" spans="1:4" x14ac:dyDescent="0.5">
      <c r="A119" t="s">
        <v>106</v>
      </c>
      <c r="B119">
        <v>254</v>
      </c>
      <c r="C119" t="s">
        <v>296</v>
      </c>
      <c r="D119" t="s">
        <v>297</v>
      </c>
    </row>
    <row r="120" spans="1:4" x14ac:dyDescent="0.5">
      <c r="A120" t="s">
        <v>106</v>
      </c>
      <c r="B120">
        <v>258</v>
      </c>
      <c r="C120" t="s">
        <v>298</v>
      </c>
      <c r="D120" t="s">
        <v>299</v>
      </c>
    </row>
    <row r="121" spans="1:4" x14ac:dyDescent="0.5">
      <c r="A121" t="s">
        <v>106</v>
      </c>
      <c r="B121">
        <v>260</v>
      </c>
      <c r="C121" t="s">
        <v>300</v>
      </c>
      <c r="D121" t="s">
        <v>125</v>
      </c>
    </row>
    <row r="122" spans="1:4" x14ac:dyDescent="0.5">
      <c r="A122" t="s">
        <v>106</v>
      </c>
      <c r="B122">
        <v>266</v>
      </c>
      <c r="C122" t="s">
        <v>301</v>
      </c>
      <c r="D122" t="s">
        <v>302</v>
      </c>
    </row>
    <row r="123" spans="1:4" x14ac:dyDescent="0.5">
      <c r="A123" t="s">
        <v>106</v>
      </c>
      <c r="B123">
        <v>270</v>
      </c>
      <c r="C123" t="s">
        <v>303</v>
      </c>
      <c r="D123" t="s">
        <v>304</v>
      </c>
    </row>
    <row r="124" spans="1:4" x14ac:dyDescent="0.5">
      <c r="A124" t="s">
        <v>106</v>
      </c>
      <c r="B124">
        <v>268</v>
      </c>
      <c r="C124" t="s">
        <v>305</v>
      </c>
      <c r="D124" t="s">
        <v>306</v>
      </c>
    </row>
    <row r="125" spans="1:4" x14ac:dyDescent="0.5">
      <c r="A125" t="s">
        <v>106</v>
      </c>
      <c r="B125">
        <v>276</v>
      </c>
      <c r="C125" t="s">
        <v>307</v>
      </c>
      <c r="D125" t="s">
        <v>308</v>
      </c>
    </row>
    <row r="126" spans="1:4" x14ac:dyDescent="0.5">
      <c r="A126" t="s">
        <v>106</v>
      </c>
      <c r="B126">
        <v>288</v>
      </c>
      <c r="C126" t="s">
        <v>309</v>
      </c>
      <c r="D126" t="s">
        <v>310</v>
      </c>
    </row>
    <row r="127" spans="1:4" x14ac:dyDescent="0.5">
      <c r="A127" t="s">
        <v>106</v>
      </c>
      <c r="B127">
        <v>292</v>
      </c>
      <c r="C127" t="s">
        <v>311</v>
      </c>
      <c r="D127" t="s">
        <v>312</v>
      </c>
    </row>
    <row r="128" spans="1:4" x14ac:dyDescent="0.5">
      <c r="A128" t="s">
        <v>106</v>
      </c>
      <c r="B128">
        <v>300</v>
      </c>
      <c r="C128" t="s">
        <v>313</v>
      </c>
      <c r="D128" t="s">
        <v>314</v>
      </c>
    </row>
    <row r="129" spans="1:4" x14ac:dyDescent="0.5">
      <c r="A129" t="s">
        <v>106</v>
      </c>
      <c r="B129">
        <v>304</v>
      </c>
      <c r="C129" t="s">
        <v>315</v>
      </c>
      <c r="D129" t="s">
        <v>316</v>
      </c>
    </row>
    <row r="130" spans="1:4" x14ac:dyDescent="0.5">
      <c r="A130" t="s">
        <v>106</v>
      </c>
      <c r="B130">
        <v>308</v>
      </c>
      <c r="C130" t="s">
        <v>317</v>
      </c>
      <c r="D130" t="s">
        <v>318</v>
      </c>
    </row>
    <row r="131" spans="1:4" x14ac:dyDescent="0.5">
      <c r="A131" t="s">
        <v>106</v>
      </c>
      <c r="B131">
        <v>312</v>
      </c>
      <c r="C131" t="s">
        <v>319</v>
      </c>
      <c r="D131" t="s">
        <v>320</v>
      </c>
    </row>
    <row r="132" spans="1:4" x14ac:dyDescent="0.5">
      <c r="A132" t="s">
        <v>106</v>
      </c>
      <c r="B132">
        <v>316</v>
      </c>
      <c r="C132" t="s">
        <v>321</v>
      </c>
      <c r="D132" t="s">
        <v>322</v>
      </c>
    </row>
    <row r="133" spans="1:4" x14ac:dyDescent="0.5">
      <c r="A133" t="s">
        <v>106</v>
      </c>
      <c r="B133">
        <v>320</v>
      </c>
      <c r="C133" t="s">
        <v>323</v>
      </c>
      <c r="D133" t="s">
        <v>324</v>
      </c>
    </row>
    <row r="134" spans="1:4" x14ac:dyDescent="0.5">
      <c r="A134" t="s">
        <v>106</v>
      </c>
      <c r="B134">
        <v>831</v>
      </c>
      <c r="C134" t="s">
        <v>325</v>
      </c>
      <c r="D134" t="s">
        <v>125</v>
      </c>
    </row>
    <row r="135" spans="1:4" x14ac:dyDescent="0.5">
      <c r="A135" t="s">
        <v>106</v>
      </c>
      <c r="B135">
        <v>324</v>
      </c>
      <c r="C135" t="s">
        <v>326</v>
      </c>
      <c r="D135" t="s">
        <v>327</v>
      </c>
    </row>
    <row r="136" spans="1:4" x14ac:dyDescent="0.5">
      <c r="A136" t="s">
        <v>106</v>
      </c>
      <c r="B136">
        <v>624</v>
      </c>
      <c r="C136" t="s">
        <v>328</v>
      </c>
      <c r="D136" t="s">
        <v>329</v>
      </c>
    </row>
    <row r="137" spans="1:4" x14ac:dyDescent="0.5">
      <c r="A137" t="s">
        <v>106</v>
      </c>
      <c r="B137">
        <v>328</v>
      </c>
      <c r="C137" t="s">
        <v>330</v>
      </c>
      <c r="D137" t="s">
        <v>331</v>
      </c>
    </row>
    <row r="138" spans="1:4" x14ac:dyDescent="0.5">
      <c r="A138" t="s">
        <v>106</v>
      </c>
      <c r="B138">
        <v>332</v>
      </c>
      <c r="C138" t="s">
        <v>332</v>
      </c>
      <c r="D138" t="s">
        <v>333</v>
      </c>
    </row>
    <row r="139" spans="1:4" x14ac:dyDescent="0.5">
      <c r="A139" t="s">
        <v>106</v>
      </c>
      <c r="B139">
        <v>334</v>
      </c>
      <c r="C139" t="s">
        <v>334</v>
      </c>
      <c r="D139" t="s">
        <v>125</v>
      </c>
    </row>
    <row r="140" spans="1:4" x14ac:dyDescent="0.5">
      <c r="A140" t="s">
        <v>106</v>
      </c>
      <c r="B140">
        <v>336</v>
      </c>
      <c r="C140" t="s">
        <v>335</v>
      </c>
      <c r="D140" t="s">
        <v>125</v>
      </c>
    </row>
    <row r="141" spans="1:4" x14ac:dyDescent="0.5">
      <c r="A141" t="s">
        <v>106</v>
      </c>
      <c r="B141">
        <v>340</v>
      </c>
      <c r="C141" t="s">
        <v>336</v>
      </c>
      <c r="D141" t="s">
        <v>337</v>
      </c>
    </row>
    <row r="142" spans="1:4" x14ac:dyDescent="0.5">
      <c r="A142" t="s">
        <v>106</v>
      </c>
      <c r="B142">
        <v>348</v>
      </c>
      <c r="C142" t="s">
        <v>338</v>
      </c>
      <c r="D142" t="s">
        <v>339</v>
      </c>
    </row>
    <row r="143" spans="1:4" x14ac:dyDescent="0.5">
      <c r="A143" t="s">
        <v>106</v>
      </c>
      <c r="B143">
        <v>352</v>
      </c>
      <c r="C143" t="s">
        <v>340</v>
      </c>
      <c r="D143" t="s">
        <v>341</v>
      </c>
    </row>
    <row r="144" spans="1:4" x14ac:dyDescent="0.5">
      <c r="A144" t="s">
        <v>106</v>
      </c>
      <c r="B144">
        <v>699</v>
      </c>
      <c r="C144" t="s">
        <v>342</v>
      </c>
      <c r="D144" t="s">
        <v>343</v>
      </c>
    </row>
    <row r="145" spans="1:4" x14ac:dyDescent="0.5">
      <c r="A145" t="s">
        <v>106</v>
      </c>
      <c r="B145">
        <v>356</v>
      </c>
      <c r="C145" t="s">
        <v>344</v>
      </c>
      <c r="D145" t="s">
        <v>343</v>
      </c>
    </row>
    <row r="146" spans="1:4" x14ac:dyDescent="0.5">
      <c r="A146" t="s">
        <v>106</v>
      </c>
      <c r="B146">
        <v>360</v>
      </c>
      <c r="C146" t="s">
        <v>345</v>
      </c>
      <c r="D146" t="s">
        <v>346</v>
      </c>
    </row>
    <row r="147" spans="1:4" x14ac:dyDescent="0.5">
      <c r="A147" t="s">
        <v>106</v>
      </c>
      <c r="B147">
        <v>364</v>
      </c>
      <c r="C147" t="s">
        <v>347</v>
      </c>
      <c r="D147" t="s">
        <v>348</v>
      </c>
    </row>
    <row r="148" spans="1:4" x14ac:dyDescent="0.5">
      <c r="A148" t="s">
        <v>106</v>
      </c>
      <c r="B148">
        <v>368</v>
      </c>
      <c r="C148" t="s">
        <v>349</v>
      </c>
      <c r="D148" t="s">
        <v>350</v>
      </c>
    </row>
    <row r="149" spans="1:4" x14ac:dyDescent="0.5">
      <c r="A149" t="s">
        <v>106</v>
      </c>
      <c r="B149">
        <v>372</v>
      </c>
      <c r="C149" t="s">
        <v>351</v>
      </c>
      <c r="D149" t="s">
        <v>352</v>
      </c>
    </row>
    <row r="150" spans="1:4" x14ac:dyDescent="0.5">
      <c r="A150" t="s">
        <v>106</v>
      </c>
      <c r="B150">
        <v>833</v>
      </c>
      <c r="C150" t="s">
        <v>353</v>
      </c>
      <c r="D150" t="s">
        <v>354</v>
      </c>
    </row>
    <row r="151" spans="1:4" x14ac:dyDescent="0.5">
      <c r="A151" t="s">
        <v>106</v>
      </c>
      <c r="B151">
        <v>376</v>
      </c>
      <c r="C151" t="s">
        <v>355</v>
      </c>
      <c r="D151" t="s">
        <v>356</v>
      </c>
    </row>
    <row r="152" spans="1:4" x14ac:dyDescent="0.5">
      <c r="A152" t="s">
        <v>106</v>
      </c>
      <c r="B152">
        <v>380</v>
      </c>
      <c r="C152" t="s">
        <v>357</v>
      </c>
      <c r="D152" t="s">
        <v>358</v>
      </c>
    </row>
    <row r="153" spans="1:4" x14ac:dyDescent="0.5">
      <c r="A153" t="s">
        <v>106</v>
      </c>
      <c r="B153">
        <v>388</v>
      </c>
      <c r="C153" t="s">
        <v>359</v>
      </c>
      <c r="D153" t="s">
        <v>360</v>
      </c>
    </row>
    <row r="154" spans="1:4" x14ac:dyDescent="0.5">
      <c r="A154" t="s">
        <v>106</v>
      </c>
      <c r="B154">
        <v>392</v>
      </c>
      <c r="C154" t="s">
        <v>361</v>
      </c>
      <c r="D154" t="s">
        <v>362</v>
      </c>
    </row>
    <row r="155" spans="1:4" x14ac:dyDescent="0.5">
      <c r="A155" t="s">
        <v>106</v>
      </c>
      <c r="B155">
        <v>832</v>
      </c>
      <c r="C155" t="s">
        <v>363</v>
      </c>
      <c r="D155" t="s">
        <v>125</v>
      </c>
    </row>
    <row r="156" spans="1:4" x14ac:dyDescent="0.5">
      <c r="A156" t="s">
        <v>106</v>
      </c>
      <c r="B156">
        <v>400</v>
      </c>
      <c r="C156" t="s">
        <v>364</v>
      </c>
      <c r="D156" t="s">
        <v>365</v>
      </c>
    </row>
    <row r="157" spans="1:4" x14ac:dyDescent="0.5">
      <c r="A157" t="s">
        <v>106</v>
      </c>
      <c r="B157">
        <v>398</v>
      </c>
      <c r="C157" t="s">
        <v>366</v>
      </c>
      <c r="D157" t="s">
        <v>367</v>
      </c>
    </row>
    <row r="158" spans="1:4" x14ac:dyDescent="0.5">
      <c r="A158" t="s">
        <v>106</v>
      </c>
      <c r="B158">
        <v>404</v>
      </c>
      <c r="C158" t="s">
        <v>368</v>
      </c>
      <c r="D158" t="s">
        <v>369</v>
      </c>
    </row>
    <row r="159" spans="1:4" x14ac:dyDescent="0.5">
      <c r="A159" t="s">
        <v>106</v>
      </c>
      <c r="B159">
        <v>296</v>
      </c>
      <c r="C159" t="s">
        <v>370</v>
      </c>
      <c r="D159" t="s">
        <v>371</v>
      </c>
    </row>
    <row r="160" spans="1:4" x14ac:dyDescent="0.5">
      <c r="A160" t="s">
        <v>106</v>
      </c>
      <c r="B160">
        <v>412</v>
      </c>
      <c r="C160" t="s">
        <v>372</v>
      </c>
      <c r="D160" t="s">
        <v>373</v>
      </c>
    </row>
    <row r="161" spans="1:4" x14ac:dyDescent="0.5">
      <c r="A161" t="s">
        <v>106</v>
      </c>
      <c r="B161">
        <v>414</v>
      </c>
      <c r="C161" t="s">
        <v>374</v>
      </c>
      <c r="D161" t="s">
        <v>375</v>
      </c>
    </row>
    <row r="162" spans="1:4" x14ac:dyDescent="0.5">
      <c r="A162" t="s">
        <v>106</v>
      </c>
      <c r="B162">
        <v>417</v>
      </c>
      <c r="C162" t="s">
        <v>376</v>
      </c>
      <c r="D162" t="s">
        <v>377</v>
      </c>
    </row>
    <row r="163" spans="1:4" x14ac:dyDescent="0.5">
      <c r="A163" t="s">
        <v>106</v>
      </c>
      <c r="B163">
        <v>418</v>
      </c>
      <c r="C163" t="s">
        <v>378</v>
      </c>
      <c r="D163" t="s">
        <v>379</v>
      </c>
    </row>
    <row r="164" spans="1:4" x14ac:dyDescent="0.5">
      <c r="A164" t="s">
        <v>106</v>
      </c>
      <c r="B164">
        <v>428</v>
      </c>
      <c r="C164" t="s">
        <v>380</v>
      </c>
      <c r="D164" t="s">
        <v>381</v>
      </c>
    </row>
    <row r="165" spans="1:4" x14ac:dyDescent="0.5">
      <c r="A165" t="s">
        <v>106</v>
      </c>
      <c r="B165">
        <v>422</v>
      </c>
      <c r="C165" t="s">
        <v>382</v>
      </c>
      <c r="D165" t="s">
        <v>383</v>
      </c>
    </row>
    <row r="166" spans="1:4" x14ac:dyDescent="0.5">
      <c r="A166" t="s">
        <v>106</v>
      </c>
      <c r="B166">
        <v>426</v>
      </c>
      <c r="C166" t="s">
        <v>384</v>
      </c>
      <c r="D166" t="s">
        <v>385</v>
      </c>
    </row>
    <row r="167" spans="1:4" x14ac:dyDescent="0.5">
      <c r="A167" t="s">
        <v>106</v>
      </c>
      <c r="B167">
        <v>430</v>
      </c>
      <c r="C167" t="s">
        <v>386</v>
      </c>
      <c r="D167" t="s">
        <v>387</v>
      </c>
    </row>
    <row r="168" spans="1:4" x14ac:dyDescent="0.5">
      <c r="A168" t="s">
        <v>106</v>
      </c>
      <c r="B168">
        <v>434</v>
      </c>
      <c r="C168" t="s">
        <v>388</v>
      </c>
      <c r="D168" t="s">
        <v>389</v>
      </c>
    </row>
    <row r="169" spans="1:4" x14ac:dyDescent="0.5">
      <c r="A169" t="s">
        <v>106</v>
      </c>
      <c r="B169">
        <v>438</v>
      </c>
      <c r="C169" t="s">
        <v>390</v>
      </c>
      <c r="D169" t="s">
        <v>391</v>
      </c>
    </row>
    <row r="170" spans="1:4" x14ac:dyDescent="0.5">
      <c r="A170" t="s">
        <v>106</v>
      </c>
      <c r="B170">
        <v>440</v>
      </c>
      <c r="C170" t="s">
        <v>392</v>
      </c>
      <c r="D170" t="s">
        <v>393</v>
      </c>
    </row>
    <row r="171" spans="1:4" x14ac:dyDescent="0.5">
      <c r="A171" t="s">
        <v>106</v>
      </c>
      <c r="B171">
        <v>442</v>
      </c>
      <c r="C171" t="s">
        <v>394</v>
      </c>
      <c r="D171" t="s">
        <v>395</v>
      </c>
    </row>
    <row r="172" spans="1:4" x14ac:dyDescent="0.5">
      <c r="A172" t="s">
        <v>106</v>
      </c>
      <c r="B172">
        <v>450</v>
      </c>
      <c r="C172" t="s">
        <v>396</v>
      </c>
      <c r="D172" t="s">
        <v>397</v>
      </c>
    </row>
    <row r="173" spans="1:4" x14ac:dyDescent="0.5">
      <c r="A173" t="s">
        <v>106</v>
      </c>
      <c r="B173">
        <v>454</v>
      </c>
      <c r="C173" t="s">
        <v>398</v>
      </c>
      <c r="D173" t="s">
        <v>399</v>
      </c>
    </row>
    <row r="174" spans="1:4" x14ac:dyDescent="0.5">
      <c r="A174" t="s">
        <v>106</v>
      </c>
      <c r="B174">
        <v>458</v>
      </c>
      <c r="C174" t="s">
        <v>400</v>
      </c>
      <c r="D174" t="s">
        <v>401</v>
      </c>
    </row>
    <row r="175" spans="1:4" x14ac:dyDescent="0.5">
      <c r="A175" t="s">
        <v>106</v>
      </c>
      <c r="B175">
        <v>462</v>
      </c>
      <c r="C175" t="s">
        <v>402</v>
      </c>
      <c r="D175" t="s">
        <v>403</v>
      </c>
    </row>
    <row r="176" spans="1:4" x14ac:dyDescent="0.5">
      <c r="A176" t="s">
        <v>106</v>
      </c>
      <c r="B176">
        <v>466</v>
      </c>
      <c r="C176" t="s">
        <v>404</v>
      </c>
      <c r="D176" t="s">
        <v>405</v>
      </c>
    </row>
    <row r="177" spans="1:4" x14ac:dyDescent="0.5">
      <c r="A177" t="s">
        <v>106</v>
      </c>
      <c r="B177">
        <v>470</v>
      </c>
      <c r="C177" t="s">
        <v>406</v>
      </c>
      <c r="D177" t="s">
        <v>407</v>
      </c>
    </row>
    <row r="178" spans="1:4" x14ac:dyDescent="0.5">
      <c r="A178" t="s">
        <v>106</v>
      </c>
      <c r="B178">
        <v>584</v>
      </c>
      <c r="C178" t="s">
        <v>408</v>
      </c>
      <c r="D178" t="s">
        <v>409</v>
      </c>
    </row>
    <row r="179" spans="1:4" x14ac:dyDescent="0.5">
      <c r="A179" t="s">
        <v>106</v>
      </c>
      <c r="B179">
        <v>474</v>
      </c>
      <c r="C179" t="s">
        <v>410</v>
      </c>
      <c r="D179" t="s">
        <v>411</v>
      </c>
    </row>
    <row r="180" spans="1:4" x14ac:dyDescent="0.5">
      <c r="A180" t="s">
        <v>106</v>
      </c>
      <c r="B180">
        <v>478</v>
      </c>
      <c r="C180" t="s">
        <v>412</v>
      </c>
      <c r="D180" t="s">
        <v>413</v>
      </c>
    </row>
    <row r="181" spans="1:4" x14ac:dyDescent="0.5">
      <c r="A181" t="s">
        <v>106</v>
      </c>
      <c r="B181">
        <v>480</v>
      </c>
      <c r="C181" t="s">
        <v>414</v>
      </c>
      <c r="D181" t="s">
        <v>415</v>
      </c>
    </row>
    <row r="182" spans="1:4" x14ac:dyDescent="0.5">
      <c r="A182" t="s">
        <v>106</v>
      </c>
      <c r="B182">
        <v>175</v>
      </c>
      <c r="C182" t="s">
        <v>416</v>
      </c>
      <c r="D182" t="s">
        <v>417</v>
      </c>
    </row>
    <row r="183" spans="1:4" x14ac:dyDescent="0.5">
      <c r="A183" t="s">
        <v>106</v>
      </c>
      <c r="B183">
        <v>484</v>
      </c>
      <c r="C183" t="s">
        <v>418</v>
      </c>
      <c r="D183" t="s">
        <v>419</v>
      </c>
    </row>
    <row r="184" spans="1:4" x14ac:dyDescent="0.5">
      <c r="A184" t="s">
        <v>106</v>
      </c>
      <c r="B184">
        <v>583</v>
      </c>
      <c r="C184" t="s">
        <v>420</v>
      </c>
      <c r="D184" t="s">
        <v>644</v>
      </c>
    </row>
    <row r="185" spans="1:4" x14ac:dyDescent="0.5">
      <c r="A185" t="s">
        <v>106</v>
      </c>
      <c r="B185">
        <v>488</v>
      </c>
      <c r="C185" t="s">
        <v>421</v>
      </c>
      <c r="D185" t="s">
        <v>125</v>
      </c>
    </row>
    <row r="186" spans="1:4" x14ac:dyDescent="0.5">
      <c r="A186" t="s">
        <v>106</v>
      </c>
      <c r="B186">
        <v>492</v>
      </c>
      <c r="C186" t="s">
        <v>422</v>
      </c>
      <c r="D186" t="s">
        <v>423</v>
      </c>
    </row>
    <row r="187" spans="1:4" x14ac:dyDescent="0.5">
      <c r="A187" t="s">
        <v>106</v>
      </c>
      <c r="B187">
        <v>496</v>
      </c>
      <c r="C187" t="s">
        <v>424</v>
      </c>
      <c r="D187" t="s">
        <v>425</v>
      </c>
    </row>
    <row r="188" spans="1:4" x14ac:dyDescent="0.5">
      <c r="A188" t="s">
        <v>106</v>
      </c>
      <c r="B188">
        <v>499</v>
      </c>
      <c r="C188" t="s">
        <v>426</v>
      </c>
      <c r="D188" t="s">
        <v>427</v>
      </c>
    </row>
    <row r="189" spans="1:4" x14ac:dyDescent="0.5">
      <c r="A189" t="s">
        <v>106</v>
      </c>
      <c r="B189">
        <v>500</v>
      </c>
      <c r="C189" t="s">
        <v>428</v>
      </c>
      <c r="D189" t="s">
        <v>429</v>
      </c>
    </row>
    <row r="190" spans="1:4" x14ac:dyDescent="0.5">
      <c r="A190" t="s">
        <v>106</v>
      </c>
      <c r="B190">
        <v>504</v>
      </c>
      <c r="C190" t="s">
        <v>430</v>
      </c>
      <c r="D190" t="s">
        <v>431</v>
      </c>
    </row>
    <row r="191" spans="1:4" x14ac:dyDescent="0.5">
      <c r="A191" t="s">
        <v>106</v>
      </c>
      <c r="B191">
        <v>508</v>
      </c>
      <c r="C191" t="s">
        <v>432</v>
      </c>
      <c r="D191" t="s">
        <v>433</v>
      </c>
    </row>
    <row r="192" spans="1:4" x14ac:dyDescent="0.5">
      <c r="A192" t="s">
        <v>106</v>
      </c>
      <c r="B192">
        <v>104</v>
      </c>
      <c r="C192" t="s">
        <v>434</v>
      </c>
      <c r="D192" t="s">
        <v>435</v>
      </c>
    </row>
    <row r="193" spans="1:4" x14ac:dyDescent="0.5">
      <c r="A193" t="s">
        <v>106</v>
      </c>
      <c r="B193">
        <v>516</v>
      </c>
      <c r="C193" t="s">
        <v>436</v>
      </c>
      <c r="D193" t="s">
        <v>437</v>
      </c>
    </row>
    <row r="194" spans="1:4" x14ac:dyDescent="0.5">
      <c r="A194" t="s">
        <v>106</v>
      </c>
      <c r="B194">
        <v>520</v>
      </c>
      <c r="C194" t="s">
        <v>438</v>
      </c>
      <c r="D194" t="s">
        <v>439</v>
      </c>
    </row>
    <row r="195" spans="1:4" x14ac:dyDescent="0.5">
      <c r="A195" t="s">
        <v>106</v>
      </c>
      <c r="B195">
        <v>524</v>
      </c>
      <c r="C195" t="s">
        <v>440</v>
      </c>
      <c r="D195" t="s">
        <v>441</v>
      </c>
    </row>
    <row r="196" spans="1:4" x14ac:dyDescent="0.5">
      <c r="A196" t="s">
        <v>106</v>
      </c>
      <c r="B196">
        <v>528</v>
      </c>
      <c r="C196" t="s">
        <v>442</v>
      </c>
      <c r="D196" t="s">
        <v>443</v>
      </c>
    </row>
    <row r="197" spans="1:4" x14ac:dyDescent="0.5">
      <c r="A197" t="s">
        <v>106</v>
      </c>
      <c r="B197">
        <v>536</v>
      </c>
      <c r="C197" t="s">
        <v>444</v>
      </c>
      <c r="D197" t="s">
        <v>445</v>
      </c>
    </row>
    <row r="198" spans="1:4" x14ac:dyDescent="0.5">
      <c r="A198" t="s">
        <v>106</v>
      </c>
      <c r="B198">
        <v>540</v>
      </c>
      <c r="C198" t="s">
        <v>446</v>
      </c>
      <c r="D198" t="s">
        <v>447</v>
      </c>
    </row>
    <row r="199" spans="1:4" x14ac:dyDescent="0.5">
      <c r="A199" t="s">
        <v>106</v>
      </c>
      <c r="B199">
        <v>554</v>
      </c>
      <c r="C199" t="s">
        <v>448</v>
      </c>
      <c r="D199" t="s">
        <v>449</v>
      </c>
    </row>
    <row r="200" spans="1:4" x14ac:dyDescent="0.5">
      <c r="A200" t="s">
        <v>106</v>
      </c>
      <c r="B200">
        <v>558</v>
      </c>
      <c r="C200" t="s">
        <v>450</v>
      </c>
      <c r="D200" t="s">
        <v>451</v>
      </c>
    </row>
    <row r="201" spans="1:4" x14ac:dyDescent="0.5">
      <c r="A201" t="s">
        <v>106</v>
      </c>
      <c r="B201">
        <v>562</v>
      </c>
      <c r="C201" t="s">
        <v>452</v>
      </c>
      <c r="D201" t="s">
        <v>453</v>
      </c>
    </row>
    <row r="202" spans="1:4" x14ac:dyDescent="0.5">
      <c r="A202" t="s">
        <v>106</v>
      </c>
      <c r="B202">
        <v>566</v>
      </c>
      <c r="C202" t="s">
        <v>454</v>
      </c>
      <c r="D202" t="s">
        <v>455</v>
      </c>
    </row>
    <row r="203" spans="1:4" x14ac:dyDescent="0.5">
      <c r="A203" t="s">
        <v>106</v>
      </c>
      <c r="B203">
        <v>570</v>
      </c>
      <c r="C203" t="s">
        <v>456</v>
      </c>
      <c r="D203" t="s">
        <v>457</v>
      </c>
    </row>
    <row r="204" spans="1:4" x14ac:dyDescent="0.5">
      <c r="A204" t="s">
        <v>106</v>
      </c>
      <c r="B204">
        <v>574</v>
      </c>
      <c r="C204" t="s">
        <v>458</v>
      </c>
      <c r="D204" t="s">
        <v>125</v>
      </c>
    </row>
    <row r="205" spans="1:4" x14ac:dyDescent="0.5">
      <c r="A205" t="s">
        <v>106</v>
      </c>
      <c r="B205">
        <v>807</v>
      </c>
      <c r="C205" t="s">
        <v>459</v>
      </c>
      <c r="D205" t="s">
        <v>460</v>
      </c>
    </row>
    <row r="206" spans="1:4" x14ac:dyDescent="0.5">
      <c r="A206" t="s">
        <v>106</v>
      </c>
      <c r="B206">
        <v>290</v>
      </c>
      <c r="C206" t="s">
        <v>461</v>
      </c>
      <c r="D206" t="s">
        <v>125</v>
      </c>
    </row>
    <row r="207" spans="1:4" x14ac:dyDescent="0.5">
      <c r="A207" t="s">
        <v>106</v>
      </c>
      <c r="B207">
        <v>637</v>
      </c>
      <c r="C207" t="s">
        <v>462</v>
      </c>
      <c r="D207" t="s">
        <v>125</v>
      </c>
    </row>
    <row r="208" spans="1:4" x14ac:dyDescent="0.5">
      <c r="A208" t="s">
        <v>106</v>
      </c>
      <c r="B208">
        <v>580</v>
      </c>
      <c r="C208" t="s">
        <v>463</v>
      </c>
      <c r="D208" t="s">
        <v>464</v>
      </c>
    </row>
    <row r="209" spans="1:4" x14ac:dyDescent="0.5">
      <c r="A209" t="s">
        <v>106</v>
      </c>
      <c r="B209">
        <v>579</v>
      </c>
      <c r="C209" t="s">
        <v>465</v>
      </c>
      <c r="D209" t="s">
        <v>466</v>
      </c>
    </row>
    <row r="210" spans="1:4" x14ac:dyDescent="0.5">
      <c r="A210" t="s">
        <v>106</v>
      </c>
      <c r="B210">
        <v>578</v>
      </c>
      <c r="C210" t="s">
        <v>467</v>
      </c>
      <c r="D210" t="s">
        <v>466</v>
      </c>
    </row>
    <row r="211" spans="1:4" x14ac:dyDescent="0.5">
      <c r="A211" t="s">
        <v>106</v>
      </c>
      <c r="B211">
        <v>527</v>
      </c>
      <c r="C211" t="s">
        <v>468</v>
      </c>
      <c r="D211" t="s">
        <v>125</v>
      </c>
    </row>
    <row r="212" spans="1:4" x14ac:dyDescent="0.5">
      <c r="A212" t="s">
        <v>106</v>
      </c>
      <c r="B212">
        <v>512</v>
      </c>
      <c r="C212" t="s">
        <v>469</v>
      </c>
      <c r="D212" t="s">
        <v>470</v>
      </c>
    </row>
    <row r="213" spans="1:4" x14ac:dyDescent="0.5">
      <c r="A213" t="s">
        <v>106</v>
      </c>
      <c r="B213">
        <v>586</v>
      </c>
      <c r="C213" t="s">
        <v>471</v>
      </c>
      <c r="D213" t="s">
        <v>472</v>
      </c>
    </row>
    <row r="214" spans="1:4" x14ac:dyDescent="0.5">
      <c r="A214" t="s">
        <v>106</v>
      </c>
      <c r="B214">
        <v>585</v>
      </c>
      <c r="C214" t="s">
        <v>473</v>
      </c>
      <c r="D214" t="s">
        <v>474</v>
      </c>
    </row>
    <row r="215" spans="1:4" x14ac:dyDescent="0.5">
      <c r="A215" t="s">
        <v>106</v>
      </c>
      <c r="B215">
        <v>591</v>
      </c>
      <c r="C215" t="s">
        <v>475</v>
      </c>
      <c r="D215" t="s">
        <v>476</v>
      </c>
    </row>
    <row r="216" spans="1:4" x14ac:dyDescent="0.5">
      <c r="A216" t="s">
        <v>106</v>
      </c>
      <c r="B216">
        <v>598</v>
      </c>
      <c r="C216" t="s">
        <v>477</v>
      </c>
      <c r="D216" t="s">
        <v>478</v>
      </c>
    </row>
    <row r="217" spans="1:4" x14ac:dyDescent="0.5">
      <c r="A217" t="s">
        <v>106</v>
      </c>
      <c r="B217">
        <v>600</v>
      </c>
      <c r="C217" t="s">
        <v>479</v>
      </c>
      <c r="D217" t="s">
        <v>480</v>
      </c>
    </row>
    <row r="218" spans="1:4" x14ac:dyDescent="0.5">
      <c r="A218" t="s">
        <v>106</v>
      </c>
      <c r="B218">
        <v>459</v>
      </c>
      <c r="C218" t="s">
        <v>481</v>
      </c>
      <c r="D218" t="s">
        <v>401</v>
      </c>
    </row>
    <row r="219" spans="1:4" x14ac:dyDescent="0.5">
      <c r="A219" t="s">
        <v>106</v>
      </c>
      <c r="B219">
        <v>604</v>
      </c>
      <c r="C219" t="s">
        <v>482</v>
      </c>
      <c r="D219" t="s">
        <v>483</v>
      </c>
    </row>
    <row r="220" spans="1:4" x14ac:dyDescent="0.5">
      <c r="A220" t="s">
        <v>106</v>
      </c>
      <c r="B220">
        <v>608</v>
      </c>
      <c r="C220" t="s">
        <v>484</v>
      </c>
      <c r="D220" t="s">
        <v>485</v>
      </c>
    </row>
    <row r="221" spans="1:4" x14ac:dyDescent="0.5">
      <c r="A221" t="s">
        <v>106</v>
      </c>
      <c r="B221">
        <v>612</v>
      </c>
      <c r="C221" t="s">
        <v>486</v>
      </c>
      <c r="D221" t="s">
        <v>125</v>
      </c>
    </row>
    <row r="222" spans="1:4" x14ac:dyDescent="0.5">
      <c r="A222" t="s">
        <v>106</v>
      </c>
      <c r="B222">
        <v>616</v>
      </c>
      <c r="C222" t="s">
        <v>487</v>
      </c>
      <c r="D222" t="s">
        <v>488</v>
      </c>
    </row>
    <row r="223" spans="1:4" x14ac:dyDescent="0.5">
      <c r="A223" t="s">
        <v>106</v>
      </c>
      <c r="B223">
        <v>620</v>
      </c>
      <c r="C223" t="s">
        <v>489</v>
      </c>
      <c r="D223" t="s">
        <v>490</v>
      </c>
    </row>
    <row r="224" spans="1:4" x14ac:dyDescent="0.5">
      <c r="A224" t="s">
        <v>106</v>
      </c>
      <c r="B224">
        <v>630</v>
      </c>
      <c r="C224" t="s">
        <v>491</v>
      </c>
      <c r="D224" t="s">
        <v>492</v>
      </c>
    </row>
    <row r="225" spans="1:4" x14ac:dyDescent="0.5">
      <c r="A225" t="s">
        <v>106</v>
      </c>
      <c r="B225">
        <v>634</v>
      </c>
      <c r="C225" t="s">
        <v>493</v>
      </c>
      <c r="D225" t="s">
        <v>494</v>
      </c>
    </row>
    <row r="226" spans="1:4" x14ac:dyDescent="0.5">
      <c r="A226" t="s">
        <v>106</v>
      </c>
      <c r="B226">
        <v>410</v>
      </c>
      <c r="C226" t="s">
        <v>495</v>
      </c>
      <c r="D226" t="s">
        <v>496</v>
      </c>
    </row>
    <row r="227" spans="1:4" x14ac:dyDescent="0.5">
      <c r="A227" t="s">
        <v>106</v>
      </c>
      <c r="B227">
        <v>498</v>
      </c>
      <c r="C227" t="s">
        <v>497</v>
      </c>
      <c r="D227" t="s">
        <v>498</v>
      </c>
    </row>
    <row r="228" spans="1:4" x14ac:dyDescent="0.5">
      <c r="A228" t="s">
        <v>106</v>
      </c>
      <c r="B228">
        <v>636</v>
      </c>
      <c r="C228" t="s">
        <v>499</v>
      </c>
      <c r="D228" t="s">
        <v>125</v>
      </c>
    </row>
    <row r="229" spans="1:4" x14ac:dyDescent="0.5">
      <c r="A229" t="s">
        <v>106</v>
      </c>
      <c r="B229">
        <v>638</v>
      </c>
      <c r="C229" t="s">
        <v>500</v>
      </c>
      <c r="D229" t="s">
        <v>501</v>
      </c>
    </row>
    <row r="230" spans="1:4" x14ac:dyDescent="0.5">
      <c r="A230" t="s">
        <v>106</v>
      </c>
      <c r="B230">
        <v>642</v>
      </c>
      <c r="C230" t="s">
        <v>502</v>
      </c>
      <c r="D230" t="s">
        <v>503</v>
      </c>
    </row>
    <row r="231" spans="1:4" x14ac:dyDescent="0.5">
      <c r="A231" t="s">
        <v>106</v>
      </c>
      <c r="B231">
        <v>643</v>
      </c>
      <c r="C231" t="s">
        <v>504</v>
      </c>
      <c r="D231" t="s">
        <v>505</v>
      </c>
    </row>
    <row r="232" spans="1:4" x14ac:dyDescent="0.5">
      <c r="A232" t="s">
        <v>106</v>
      </c>
      <c r="B232">
        <v>646</v>
      </c>
      <c r="C232" t="s">
        <v>506</v>
      </c>
      <c r="D232" t="s">
        <v>507</v>
      </c>
    </row>
    <row r="233" spans="1:4" x14ac:dyDescent="0.5">
      <c r="A233" t="s">
        <v>106</v>
      </c>
      <c r="B233">
        <v>647</v>
      </c>
      <c r="C233" t="s">
        <v>508</v>
      </c>
      <c r="D233" t="s">
        <v>125</v>
      </c>
    </row>
    <row r="234" spans="1:4" x14ac:dyDescent="0.5">
      <c r="A234" t="s">
        <v>106</v>
      </c>
      <c r="B234">
        <v>461</v>
      </c>
      <c r="C234" t="s">
        <v>509</v>
      </c>
      <c r="D234" t="s">
        <v>125</v>
      </c>
    </row>
    <row r="235" spans="1:4" x14ac:dyDescent="0.5">
      <c r="A235" t="s">
        <v>106</v>
      </c>
      <c r="B235">
        <v>654</v>
      </c>
      <c r="C235" t="s">
        <v>510</v>
      </c>
      <c r="D235" t="s">
        <v>511</v>
      </c>
    </row>
    <row r="236" spans="1:4" x14ac:dyDescent="0.5">
      <c r="A236" t="s">
        <v>106</v>
      </c>
      <c r="B236">
        <v>659</v>
      </c>
      <c r="C236" t="s">
        <v>512</v>
      </c>
      <c r="D236" t="s">
        <v>513</v>
      </c>
    </row>
    <row r="237" spans="1:4" x14ac:dyDescent="0.5">
      <c r="A237" t="s">
        <v>106</v>
      </c>
      <c r="B237">
        <v>658</v>
      </c>
      <c r="C237" t="s">
        <v>514</v>
      </c>
      <c r="D237" t="s">
        <v>125</v>
      </c>
    </row>
    <row r="238" spans="1:4" x14ac:dyDescent="0.5">
      <c r="A238" t="s">
        <v>106</v>
      </c>
      <c r="B238">
        <v>662</v>
      </c>
      <c r="C238" t="s">
        <v>515</v>
      </c>
      <c r="D238" t="s">
        <v>516</v>
      </c>
    </row>
    <row r="239" spans="1:4" x14ac:dyDescent="0.5">
      <c r="A239" t="s">
        <v>106</v>
      </c>
      <c r="B239">
        <v>663</v>
      </c>
      <c r="C239" t="s">
        <v>517</v>
      </c>
      <c r="D239" t="s">
        <v>125</v>
      </c>
    </row>
    <row r="240" spans="1:4" x14ac:dyDescent="0.5">
      <c r="A240" t="s">
        <v>106</v>
      </c>
      <c r="B240">
        <v>666</v>
      </c>
      <c r="C240" t="s">
        <v>518</v>
      </c>
      <c r="D240" t="s">
        <v>519</v>
      </c>
    </row>
    <row r="241" spans="1:4" x14ac:dyDescent="0.5">
      <c r="A241" t="s">
        <v>106</v>
      </c>
      <c r="B241">
        <v>670</v>
      </c>
      <c r="C241" t="s">
        <v>520</v>
      </c>
      <c r="D241" t="s">
        <v>521</v>
      </c>
    </row>
    <row r="242" spans="1:4" x14ac:dyDescent="0.5">
      <c r="A242" t="s">
        <v>106</v>
      </c>
      <c r="B242">
        <v>652</v>
      </c>
      <c r="C242" t="s">
        <v>522</v>
      </c>
      <c r="D242" t="s">
        <v>125</v>
      </c>
    </row>
    <row r="243" spans="1:4" x14ac:dyDescent="0.5">
      <c r="A243" t="s">
        <v>106</v>
      </c>
      <c r="B243">
        <v>882</v>
      </c>
      <c r="C243" t="s">
        <v>523</v>
      </c>
      <c r="D243" t="s">
        <v>524</v>
      </c>
    </row>
    <row r="244" spans="1:4" x14ac:dyDescent="0.5">
      <c r="A244" t="s">
        <v>106</v>
      </c>
      <c r="B244">
        <v>674</v>
      </c>
      <c r="C244" t="s">
        <v>525</v>
      </c>
      <c r="D244" t="s">
        <v>526</v>
      </c>
    </row>
    <row r="245" spans="1:4" x14ac:dyDescent="0.5">
      <c r="A245" t="s">
        <v>106</v>
      </c>
      <c r="B245">
        <v>678</v>
      </c>
      <c r="C245" t="s">
        <v>527</v>
      </c>
      <c r="D245" t="s">
        <v>528</v>
      </c>
    </row>
    <row r="246" spans="1:4" x14ac:dyDescent="0.5">
      <c r="A246" t="s">
        <v>106</v>
      </c>
      <c r="B246">
        <v>457</v>
      </c>
      <c r="C246" t="s">
        <v>529</v>
      </c>
      <c r="D246" t="s">
        <v>125</v>
      </c>
    </row>
    <row r="247" spans="1:4" x14ac:dyDescent="0.5">
      <c r="A247" t="s">
        <v>106</v>
      </c>
      <c r="B247">
        <v>680</v>
      </c>
      <c r="C247" t="s">
        <v>530</v>
      </c>
      <c r="D247" t="s">
        <v>125</v>
      </c>
    </row>
    <row r="248" spans="1:4" x14ac:dyDescent="0.5">
      <c r="A248" t="s">
        <v>106</v>
      </c>
      <c r="B248">
        <v>682</v>
      </c>
      <c r="C248" t="s">
        <v>531</v>
      </c>
      <c r="D248" t="s">
        <v>445</v>
      </c>
    </row>
    <row r="249" spans="1:4" x14ac:dyDescent="0.5">
      <c r="A249" t="s">
        <v>106</v>
      </c>
      <c r="B249">
        <v>686</v>
      </c>
      <c r="C249" t="s">
        <v>532</v>
      </c>
      <c r="D249" t="s">
        <v>533</v>
      </c>
    </row>
    <row r="250" spans="1:4" x14ac:dyDescent="0.5">
      <c r="A250" t="s">
        <v>106</v>
      </c>
      <c r="B250">
        <v>688</v>
      </c>
      <c r="C250" t="s">
        <v>534</v>
      </c>
      <c r="D250" t="s">
        <v>535</v>
      </c>
    </row>
    <row r="251" spans="1:4" x14ac:dyDescent="0.5">
      <c r="A251" t="s">
        <v>106</v>
      </c>
      <c r="B251">
        <v>690</v>
      </c>
      <c r="C251" t="s">
        <v>536</v>
      </c>
      <c r="D251" t="s">
        <v>537</v>
      </c>
    </row>
    <row r="252" spans="1:4" x14ac:dyDescent="0.5">
      <c r="A252" t="s">
        <v>106</v>
      </c>
      <c r="B252">
        <v>694</v>
      </c>
      <c r="C252" t="s">
        <v>538</v>
      </c>
      <c r="D252" t="s">
        <v>539</v>
      </c>
    </row>
    <row r="253" spans="1:4" x14ac:dyDescent="0.5">
      <c r="A253" t="s">
        <v>106</v>
      </c>
      <c r="B253">
        <v>698</v>
      </c>
      <c r="C253" t="s">
        <v>540</v>
      </c>
      <c r="D253" t="s">
        <v>343</v>
      </c>
    </row>
    <row r="254" spans="1:4" x14ac:dyDescent="0.5">
      <c r="A254" t="s">
        <v>106</v>
      </c>
      <c r="B254">
        <v>702</v>
      </c>
      <c r="C254" t="s">
        <v>541</v>
      </c>
      <c r="D254" t="s">
        <v>542</v>
      </c>
    </row>
    <row r="255" spans="1:4" x14ac:dyDescent="0.5">
      <c r="A255" t="s">
        <v>106</v>
      </c>
      <c r="B255">
        <v>534</v>
      </c>
      <c r="C255" t="s">
        <v>543</v>
      </c>
      <c r="D255" t="s">
        <v>125</v>
      </c>
    </row>
    <row r="256" spans="1:4" x14ac:dyDescent="0.5">
      <c r="A256" t="s">
        <v>106</v>
      </c>
      <c r="B256">
        <v>703</v>
      </c>
      <c r="C256" t="s">
        <v>544</v>
      </c>
      <c r="D256" t="s">
        <v>545</v>
      </c>
    </row>
    <row r="257" spans="1:4" x14ac:dyDescent="0.5">
      <c r="A257" t="s">
        <v>106</v>
      </c>
      <c r="B257">
        <v>705</v>
      </c>
      <c r="C257" t="s">
        <v>546</v>
      </c>
      <c r="D257" t="s">
        <v>547</v>
      </c>
    </row>
    <row r="258" spans="1:4" x14ac:dyDescent="0.5">
      <c r="A258" t="s">
        <v>106</v>
      </c>
      <c r="B258">
        <v>90</v>
      </c>
      <c r="C258" t="s">
        <v>548</v>
      </c>
      <c r="D258" t="s">
        <v>549</v>
      </c>
    </row>
    <row r="259" spans="1:4" x14ac:dyDescent="0.5">
      <c r="A259" t="s">
        <v>106</v>
      </c>
      <c r="B259">
        <v>706</v>
      </c>
      <c r="C259" t="s">
        <v>550</v>
      </c>
      <c r="D259" t="s">
        <v>551</v>
      </c>
    </row>
    <row r="260" spans="1:4" x14ac:dyDescent="0.5">
      <c r="A260" t="s">
        <v>106</v>
      </c>
      <c r="B260">
        <v>710</v>
      </c>
      <c r="C260" t="s">
        <v>552</v>
      </c>
      <c r="D260" t="s">
        <v>553</v>
      </c>
    </row>
    <row r="261" spans="1:4" x14ac:dyDescent="0.5">
      <c r="A261" t="s">
        <v>106</v>
      </c>
      <c r="B261">
        <v>283</v>
      </c>
      <c r="C261" t="s">
        <v>554</v>
      </c>
      <c r="D261" t="s">
        <v>125</v>
      </c>
    </row>
    <row r="262" spans="1:4" x14ac:dyDescent="0.5">
      <c r="A262" t="s">
        <v>106</v>
      </c>
      <c r="B262">
        <v>239</v>
      </c>
      <c r="C262" t="s">
        <v>555</v>
      </c>
      <c r="D262" t="s">
        <v>125</v>
      </c>
    </row>
    <row r="263" spans="1:4" x14ac:dyDescent="0.5">
      <c r="A263" t="s">
        <v>106</v>
      </c>
      <c r="B263">
        <v>728</v>
      </c>
      <c r="C263" t="s">
        <v>556</v>
      </c>
      <c r="D263" t="s">
        <v>557</v>
      </c>
    </row>
    <row r="264" spans="1:4" x14ac:dyDescent="0.5">
      <c r="A264" t="s">
        <v>106</v>
      </c>
      <c r="B264">
        <v>711</v>
      </c>
      <c r="C264" t="s">
        <v>558</v>
      </c>
      <c r="D264" t="s">
        <v>125</v>
      </c>
    </row>
    <row r="265" spans="1:4" x14ac:dyDescent="0.5">
      <c r="A265" t="s">
        <v>106</v>
      </c>
      <c r="B265">
        <v>724</v>
      </c>
      <c r="C265" t="s">
        <v>559</v>
      </c>
      <c r="D265" t="s">
        <v>560</v>
      </c>
    </row>
    <row r="266" spans="1:4" x14ac:dyDescent="0.5">
      <c r="A266" t="s">
        <v>106</v>
      </c>
      <c r="B266">
        <v>839</v>
      </c>
      <c r="C266" t="s">
        <v>561</v>
      </c>
      <c r="D266" t="s">
        <v>125</v>
      </c>
    </row>
    <row r="267" spans="1:4" x14ac:dyDescent="0.5">
      <c r="A267" t="s">
        <v>106</v>
      </c>
      <c r="B267">
        <v>144</v>
      </c>
      <c r="C267" t="s">
        <v>562</v>
      </c>
      <c r="D267" t="s">
        <v>563</v>
      </c>
    </row>
    <row r="268" spans="1:4" x14ac:dyDescent="0.5">
      <c r="A268" t="s">
        <v>106</v>
      </c>
      <c r="B268">
        <v>275</v>
      </c>
      <c r="C268" t="s">
        <v>564</v>
      </c>
      <c r="D268" t="s">
        <v>565</v>
      </c>
    </row>
    <row r="269" spans="1:4" x14ac:dyDescent="0.5">
      <c r="A269" t="s">
        <v>106</v>
      </c>
      <c r="B269">
        <v>729</v>
      </c>
      <c r="C269" t="s">
        <v>566</v>
      </c>
      <c r="D269" t="s">
        <v>567</v>
      </c>
    </row>
    <row r="270" spans="1:4" x14ac:dyDescent="0.5">
      <c r="A270" t="s">
        <v>106</v>
      </c>
      <c r="B270">
        <v>740</v>
      </c>
      <c r="C270" t="s">
        <v>568</v>
      </c>
      <c r="D270" t="s">
        <v>569</v>
      </c>
    </row>
    <row r="271" spans="1:4" x14ac:dyDescent="0.5">
      <c r="A271" t="s">
        <v>106</v>
      </c>
      <c r="B271">
        <v>744</v>
      </c>
      <c r="C271" t="s">
        <v>570</v>
      </c>
      <c r="D271" t="s">
        <v>125</v>
      </c>
    </row>
    <row r="272" spans="1:4" x14ac:dyDescent="0.5">
      <c r="A272" t="s">
        <v>106</v>
      </c>
      <c r="B272">
        <v>752</v>
      </c>
      <c r="C272" t="s">
        <v>571</v>
      </c>
      <c r="D272" t="s">
        <v>572</v>
      </c>
    </row>
    <row r="273" spans="1:4" x14ac:dyDescent="0.5">
      <c r="A273" t="s">
        <v>106</v>
      </c>
      <c r="B273">
        <v>756</v>
      </c>
      <c r="C273" t="s">
        <v>573</v>
      </c>
      <c r="D273" t="s">
        <v>574</v>
      </c>
    </row>
    <row r="274" spans="1:4" x14ac:dyDescent="0.5">
      <c r="A274" t="s">
        <v>106</v>
      </c>
      <c r="B274">
        <v>757</v>
      </c>
      <c r="C274" t="s">
        <v>573</v>
      </c>
      <c r="D274" t="s">
        <v>574</v>
      </c>
    </row>
    <row r="275" spans="1:4" x14ac:dyDescent="0.5">
      <c r="A275" t="s">
        <v>106</v>
      </c>
      <c r="B275">
        <v>760</v>
      </c>
      <c r="C275" t="s">
        <v>575</v>
      </c>
      <c r="D275" t="s">
        <v>576</v>
      </c>
    </row>
    <row r="276" spans="1:4" x14ac:dyDescent="0.5">
      <c r="A276" t="s">
        <v>106</v>
      </c>
      <c r="B276">
        <v>762</v>
      </c>
      <c r="C276" t="s">
        <v>577</v>
      </c>
      <c r="D276" t="s">
        <v>578</v>
      </c>
    </row>
    <row r="277" spans="1:4" x14ac:dyDescent="0.5">
      <c r="A277" t="s">
        <v>106</v>
      </c>
      <c r="B277">
        <v>834</v>
      </c>
      <c r="C277" t="s">
        <v>579</v>
      </c>
      <c r="D277" t="s">
        <v>580</v>
      </c>
    </row>
    <row r="278" spans="1:4" x14ac:dyDescent="0.5">
      <c r="A278" t="s">
        <v>106</v>
      </c>
      <c r="B278">
        <v>764</v>
      </c>
      <c r="C278" t="s">
        <v>581</v>
      </c>
      <c r="D278" t="s">
        <v>582</v>
      </c>
    </row>
    <row r="279" spans="1:4" x14ac:dyDescent="0.5">
      <c r="A279" t="s">
        <v>106</v>
      </c>
      <c r="B279">
        <v>626</v>
      </c>
      <c r="C279" t="s">
        <v>583</v>
      </c>
      <c r="D279" t="s">
        <v>584</v>
      </c>
    </row>
    <row r="280" spans="1:4" x14ac:dyDescent="0.5">
      <c r="A280" t="s">
        <v>106</v>
      </c>
      <c r="B280">
        <v>768</v>
      </c>
      <c r="C280" t="s">
        <v>585</v>
      </c>
      <c r="D280" t="s">
        <v>586</v>
      </c>
    </row>
    <row r="281" spans="1:4" x14ac:dyDescent="0.5">
      <c r="A281" t="s">
        <v>106</v>
      </c>
      <c r="B281">
        <v>772</v>
      </c>
      <c r="C281" t="s">
        <v>587</v>
      </c>
      <c r="D281" t="s">
        <v>588</v>
      </c>
    </row>
    <row r="282" spans="1:4" x14ac:dyDescent="0.5">
      <c r="A282" t="s">
        <v>106</v>
      </c>
      <c r="B282">
        <v>776</v>
      </c>
      <c r="C282" t="s">
        <v>589</v>
      </c>
      <c r="D282" t="s">
        <v>590</v>
      </c>
    </row>
    <row r="283" spans="1:4" x14ac:dyDescent="0.5">
      <c r="A283" t="s">
        <v>106</v>
      </c>
      <c r="B283">
        <v>780</v>
      </c>
      <c r="C283" t="s">
        <v>591</v>
      </c>
      <c r="D283" t="s">
        <v>592</v>
      </c>
    </row>
    <row r="284" spans="1:4" x14ac:dyDescent="0.5">
      <c r="A284" t="s">
        <v>106</v>
      </c>
      <c r="B284">
        <v>788</v>
      </c>
      <c r="C284" t="s">
        <v>593</v>
      </c>
      <c r="D284" t="s">
        <v>594</v>
      </c>
    </row>
    <row r="285" spans="1:4" x14ac:dyDescent="0.5">
      <c r="A285" t="s">
        <v>106</v>
      </c>
      <c r="B285">
        <v>792</v>
      </c>
      <c r="C285" t="s">
        <v>595</v>
      </c>
      <c r="D285" t="s">
        <v>596</v>
      </c>
    </row>
    <row r="286" spans="1:4" x14ac:dyDescent="0.5">
      <c r="A286" t="s">
        <v>106</v>
      </c>
      <c r="B286">
        <v>795</v>
      </c>
      <c r="C286" t="s">
        <v>597</v>
      </c>
      <c r="D286" t="s">
        <v>598</v>
      </c>
    </row>
    <row r="287" spans="1:4" x14ac:dyDescent="0.5">
      <c r="A287" t="s">
        <v>106</v>
      </c>
      <c r="B287">
        <v>796</v>
      </c>
      <c r="C287" t="s">
        <v>599</v>
      </c>
      <c r="D287" t="s">
        <v>600</v>
      </c>
    </row>
    <row r="288" spans="1:4" x14ac:dyDescent="0.5">
      <c r="A288" t="s">
        <v>106</v>
      </c>
      <c r="B288">
        <v>798</v>
      </c>
      <c r="C288" t="s">
        <v>601</v>
      </c>
      <c r="D288" t="s">
        <v>602</v>
      </c>
    </row>
    <row r="289" spans="1:4" x14ac:dyDescent="0.5">
      <c r="A289" t="s">
        <v>106</v>
      </c>
      <c r="B289">
        <v>800</v>
      </c>
      <c r="C289" t="s">
        <v>603</v>
      </c>
      <c r="D289" t="s">
        <v>604</v>
      </c>
    </row>
    <row r="290" spans="1:4" x14ac:dyDescent="0.5">
      <c r="A290" t="s">
        <v>106</v>
      </c>
      <c r="B290">
        <v>804</v>
      </c>
      <c r="C290" t="s">
        <v>605</v>
      </c>
      <c r="D290" t="s">
        <v>606</v>
      </c>
    </row>
    <row r="291" spans="1:4" x14ac:dyDescent="0.5">
      <c r="A291" t="s">
        <v>106</v>
      </c>
      <c r="B291">
        <v>784</v>
      </c>
      <c r="C291" t="s">
        <v>607</v>
      </c>
      <c r="D291" t="s">
        <v>608</v>
      </c>
    </row>
    <row r="292" spans="1:4" x14ac:dyDescent="0.5">
      <c r="A292" t="s">
        <v>106</v>
      </c>
      <c r="B292">
        <v>826</v>
      </c>
      <c r="C292" t="s">
        <v>609</v>
      </c>
      <c r="D292" t="s">
        <v>610</v>
      </c>
    </row>
    <row r="293" spans="1:4" x14ac:dyDescent="0.5">
      <c r="A293" t="s">
        <v>106</v>
      </c>
      <c r="B293">
        <v>581</v>
      </c>
      <c r="C293" t="s">
        <v>611</v>
      </c>
      <c r="D293" t="s">
        <v>614</v>
      </c>
    </row>
    <row r="294" spans="1:4" x14ac:dyDescent="0.5">
      <c r="A294" t="s">
        <v>106</v>
      </c>
      <c r="B294">
        <v>849</v>
      </c>
      <c r="C294" t="s">
        <v>612</v>
      </c>
      <c r="D294" t="s">
        <v>614</v>
      </c>
    </row>
    <row r="295" spans="1:4" x14ac:dyDescent="0.5">
      <c r="A295" t="s">
        <v>106</v>
      </c>
      <c r="B295">
        <v>840</v>
      </c>
      <c r="C295" t="s">
        <v>613</v>
      </c>
      <c r="D295" t="s">
        <v>614</v>
      </c>
    </row>
    <row r="296" spans="1:4" x14ac:dyDescent="0.5">
      <c r="A296" t="s">
        <v>106</v>
      </c>
      <c r="B296">
        <v>842</v>
      </c>
      <c r="C296" t="s">
        <v>613</v>
      </c>
      <c r="D296" t="s">
        <v>614</v>
      </c>
    </row>
    <row r="297" spans="1:4" x14ac:dyDescent="0.5">
      <c r="A297" t="s">
        <v>106</v>
      </c>
      <c r="B297">
        <v>841</v>
      </c>
      <c r="C297" t="s">
        <v>615</v>
      </c>
      <c r="D297" t="s">
        <v>614</v>
      </c>
    </row>
    <row r="298" spans="1:4" x14ac:dyDescent="0.5">
      <c r="A298" t="s">
        <v>106</v>
      </c>
      <c r="B298">
        <v>850</v>
      </c>
      <c r="C298" t="s">
        <v>616</v>
      </c>
      <c r="D298" t="s">
        <v>617</v>
      </c>
    </row>
    <row r="299" spans="1:4" x14ac:dyDescent="0.5">
      <c r="A299" t="s">
        <v>106</v>
      </c>
      <c r="B299">
        <v>858</v>
      </c>
      <c r="C299" t="s">
        <v>618</v>
      </c>
      <c r="D299" t="s">
        <v>619</v>
      </c>
    </row>
    <row r="300" spans="1:4" x14ac:dyDescent="0.5">
      <c r="A300" t="s">
        <v>106</v>
      </c>
      <c r="B300">
        <v>860</v>
      </c>
      <c r="C300" t="s">
        <v>620</v>
      </c>
      <c r="D300" t="s">
        <v>621</v>
      </c>
    </row>
    <row r="301" spans="1:4" x14ac:dyDescent="0.5">
      <c r="A301" t="s">
        <v>106</v>
      </c>
      <c r="B301">
        <v>548</v>
      </c>
      <c r="C301" t="s">
        <v>622</v>
      </c>
      <c r="D301" t="s">
        <v>623</v>
      </c>
    </row>
    <row r="302" spans="1:4" x14ac:dyDescent="0.5">
      <c r="A302" t="s">
        <v>106</v>
      </c>
      <c r="B302">
        <v>862</v>
      </c>
      <c r="C302" t="s">
        <v>624</v>
      </c>
      <c r="D302" t="s">
        <v>625</v>
      </c>
    </row>
    <row r="303" spans="1:4" x14ac:dyDescent="0.5">
      <c r="A303" t="s">
        <v>106</v>
      </c>
      <c r="B303">
        <v>704</v>
      </c>
      <c r="C303" t="s">
        <v>626</v>
      </c>
      <c r="D303" t="s">
        <v>627</v>
      </c>
    </row>
    <row r="304" spans="1:4" x14ac:dyDescent="0.5">
      <c r="A304" t="s">
        <v>106</v>
      </c>
      <c r="B304">
        <v>872</v>
      </c>
      <c r="C304" t="s">
        <v>628</v>
      </c>
      <c r="D304" t="s">
        <v>125</v>
      </c>
    </row>
    <row r="305" spans="1:4" x14ac:dyDescent="0.5">
      <c r="A305" t="s">
        <v>106</v>
      </c>
      <c r="B305">
        <v>876</v>
      </c>
      <c r="C305" t="s">
        <v>629</v>
      </c>
      <c r="D305" t="s">
        <v>630</v>
      </c>
    </row>
    <row r="306" spans="1:4" x14ac:dyDescent="0.5">
      <c r="A306" t="s">
        <v>106</v>
      </c>
      <c r="B306">
        <v>879</v>
      </c>
      <c r="C306" t="s">
        <v>631</v>
      </c>
      <c r="D306" t="s">
        <v>125</v>
      </c>
    </row>
    <row r="307" spans="1:4" x14ac:dyDescent="0.5">
      <c r="A307" t="s">
        <v>106</v>
      </c>
      <c r="B307">
        <v>732</v>
      </c>
      <c r="C307" t="s">
        <v>632</v>
      </c>
      <c r="D307" t="s">
        <v>633</v>
      </c>
    </row>
    <row r="308" spans="1:4" x14ac:dyDescent="0.5">
      <c r="A308" t="s">
        <v>106</v>
      </c>
      <c r="B308">
        <v>0</v>
      </c>
      <c r="C308" t="s">
        <v>634</v>
      </c>
      <c r="D308" t="s">
        <v>125</v>
      </c>
    </row>
    <row r="309" spans="1:4" x14ac:dyDescent="0.5">
      <c r="A309" t="s">
        <v>106</v>
      </c>
      <c r="B309">
        <v>887</v>
      </c>
      <c r="C309" t="s">
        <v>635</v>
      </c>
      <c r="D309" t="s">
        <v>636</v>
      </c>
    </row>
    <row r="310" spans="1:4" x14ac:dyDescent="0.5">
      <c r="A310" t="s">
        <v>106</v>
      </c>
      <c r="B310">
        <v>894</v>
      </c>
      <c r="C310" t="s">
        <v>637</v>
      </c>
      <c r="D310" t="s">
        <v>638</v>
      </c>
    </row>
    <row r="311" spans="1:4" x14ac:dyDescent="0.5">
      <c r="A311" t="s">
        <v>106</v>
      </c>
      <c r="B311">
        <v>716</v>
      </c>
      <c r="C311" t="s">
        <v>639</v>
      </c>
      <c r="D311" t="s">
        <v>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D1C8-8AC6-428A-A527-982E7189BCE6}">
  <dimension ref="A1:G87"/>
  <sheetViews>
    <sheetView workbookViewId="0"/>
  </sheetViews>
  <sheetFormatPr defaultRowHeight="15.75" x14ac:dyDescent="0.5"/>
  <cols>
    <col min="1" max="1" width="11.5" bestFit="1" customWidth="1"/>
    <col min="2" max="2" width="7.625" bestFit="1" customWidth="1"/>
    <col min="3" max="3" width="47.125" bestFit="1" customWidth="1"/>
    <col min="4" max="4" width="11.5" bestFit="1" customWidth="1"/>
    <col min="6" max="6" width="5.25" bestFit="1" customWidth="1"/>
  </cols>
  <sheetData>
    <row r="1" spans="1:7" x14ac:dyDescent="0.5">
      <c r="A1" t="s">
        <v>102</v>
      </c>
      <c r="B1" t="s">
        <v>103</v>
      </c>
      <c r="C1" t="s">
        <v>104</v>
      </c>
      <c r="D1" t="s">
        <v>1187</v>
      </c>
      <c r="E1" t="s">
        <v>1188</v>
      </c>
      <c r="F1" t="s">
        <v>1175</v>
      </c>
      <c r="G1" t="s">
        <v>99</v>
      </c>
    </row>
    <row r="2" spans="1:7" x14ac:dyDescent="0.5">
      <c r="A2" t="s">
        <v>645</v>
      </c>
      <c r="B2">
        <v>100</v>
      </c>
      <c r="C2" t="s">
        <v>646</v>
      </c>
      <c r="E2" t="str">
        <f>C2</f>
        <v>Hard Coal</v>
      </c>
      <c r="F2" s="3">
        <v>153.59967891725699</v>
      </c>
      <c r="G2" t="s">
        <v>1174</v>
      </c>
    </row>
    <row r="3" spans="1:7" x14ac:dyDescent="0.5">
      <c r="A3" t="s">
        <v>645</v>
      </c>
      <c r="B3">
        <v>110</v>
      </c>
      <c r="C3" t="s">
        <v>647</v>
      </c>
      <c r="D3" t="s">
        <v>6</v>
      </c>
      <c r="E3" t="str">
        <f t="shared" ref="E3:E66" si="0">C3</f>
        <v>Anthracite</v>
      </c>
      <c r="F3" s="3">
        <v>1.1612983974000002</v>
      </c>
      <c r="G3" t="s">
        <v>6</v>
      </c>
    </row>
    <row r="4" spans="1:7" x14ac:dyDescent="0.5">
      <c r="A4" t="s">
        <v>645</v>
      </c>
      <c r="B4">
        <v>121</v>
      </c>
      <c r="C4" t="s">
        <v>648</v>
      </c>
      <c r="D4" t="s">
        <v>6</v>
      </c>
      <c r="E4" t="str">
        <f t="shared" si="0"/>
        <v>Coking coal</v>
      </c>
      <c r="F4" s="3">
        <v>12.143713632600001</v>
      </c>
      <c r="G4" t="s">
        <v>6</v>
      </c>
    </row>
    <row r="5" spans="1:7" x14ac:dyDescent="0.5">
      <c r="A5" t="s">
        <v>645</v>
      </c>
      <c r="B5">
        <v>129</v>
      </c>
      <c r="C5" t="s">
        <v>649</v>
      </c>
      <c r="D5" t="s">
        <v>6</v>
      </c>
      <c r="E5" t="str">
        <f t="shared" si="0"/>
        <v>Other bituminous coal</v>
      </c>
      <c r="F5" s="3">
        <v>32.309631565799997</v>
      </c>
      <c r="G5" t="s">
        <v>6</v>
      </c>
    </row>
    <row r="6" spans="1:7" x14ac:dyDescent="0.5">
      <c r="A6" t="s">
        <v>645</v>
      </c>
      <c r="B6">
        <v>200</v>
      </c>
      <c r="C6" t="s">
        <v>650</v>
      </c>
      <c r="E6" t="str">
        <f t="shared" si="0"/>
        <v>Brown Coal</v>
      </c>
      <c r="F6" s="3">
        <v>13.882546309053</v>
      </c>
      <c r="G6" t="s">
        <v>1174</v>
      </c>
    </row>
    <row r="7" spans="1:7" x14ac:dyDescent="0.5">
      <c r="A7" t="s">
        <v>645</v>
      </c>
      <c r="B7">
        <v>210</v>
      </c>
      <c r="C7" t="s">
        <v>651</v>
      </c>
      <c r="D7" t="s">
        <v>6</v>
      </c>
      <c r="E7" t="str">
        <f t="shared" si="0"/>
        <v>Sub-bituminous coal</v>
      </c>
      <c r="F7" s="3">
        <v>6.2731547171999997</v>
      </c>
      <c r="G7" t="s">
        <v>6</v>
      </c>
    </row>
    <row r="8" spans="1:7" x14ac:dyDescent="0.5">
      <c r="A8" t="s">
        <v>645</v>
      </c>
      <c r="B8">
        <v>220</v>
      </c>
      <c r="C8" t="s">
        <v>652</v>
      </c>
      <c r="D8" t="s">
        <v>6</v>
      </c>
      <c r="E8" t="str">
        <f t="shared" si="0"/>
        <v>Lignite</v>
      </c>
      <c r="F8" s="3">
        <v>7.9608635827000001</v>
      </c>
      <c r="G8" t="s">
        <v>6</v>
      </c>
    </row>
    <row r="9" spans="1:7" x14ac:dyDescent="0.5">
      <c r="A9" t="s">
        <v>645</v>
      </c>
      <c r="B9">
        <v>311</v>
      </c>
      <c r="C9" t="s">
        <v>653</v>
      </c>
      <c r="D9" t="s">
        <v>1163</v>
      </c>
      <c r="E9" t="str">
        <f t="shared" si="0"/>
        <v>Coke Oven Coke</v>
      </c>
      <c r="F9" s="3">
        <v>20.147717872198999</v>
      </c>
      <c r="G9" t="s">
        <v>6</v>
      </c>
    </row>
    <row r="10" spans="1:7" x14ac:dyDescent="0.5">
      <c r="A10" t="s">
        <v>645</v>
      </c>
      <c r="B10">
        <v>312</v>
      </c>
      <c r="C10" t="s">
        <v>654</v>
      </c>
      <c r="D10" t="s">
        <v>1163</v>
      </c>
      <c r="E10" t="str">
        <f t="shared" si="0"/>
        <v>Gas Coke</v>
      </c>
      <c r="F10" s="3">
        <v>3.8408399999999998E-4</v>
      </c>
      <c r="G10" t="s">
        <v>6</v>
      </c>
    </row>
    <row r="11" spans="1:7" x14ac:dyDescent="0.5">
      <c r="A11" t="s">
        <v>645</v>
      </c>
      <c r="B11">
        <v>320</v>
      </c>
      <c r="C11" t="s">
        <v>655</v>
      </c>
      <c r="D11" t="s">
        <v>1163</v>
      </c>
      <c r="E11" t="str">
        <f t="shared" si="0"/>
        <v>Patent fuel</v>
      </c>
      <c r="F11" s="3">
        <v>0.26582218846599998</v>
      </c>
      <c r="G11" t="s">
        <v>6</v>
      </c>
    </row>
    <row r="12" spans="1:7" x14ac:dyDescent="0.5">
      <c r="A12" t="s">
        <v>645</v>
      </c>
      <c r="B12">
        <v>330</v>
      </c>
      <c r="C12" t="s">
        <v>656</v>
      </c>
      <c r="D12" t="s">
        <v>1163</v>
      </c>
      <c r="E12" t="str">
        <f t="shared" si="0"/>
        <v>Brown Coal Briquettes</v>
      </c>
      <c r="F12" s="3">
        <v>0.18169359723100001</v>
      </c>
      <c r="G12" t="s">
        <v>6</v>
      </c>
    </row>
    <row r="13" spans="1:7" x14ac:dyDescent="0.5">
      <c r="A13" t="s">
        <v>645</v>
      </c>
      <c r="B13">
        <v>340</v>
      </c>
      <c r="C13" t="s">
        <v>657</v>
      </c>
      <c r="D13" t="s">
        <v>1163</v>
      </c>
      <c r="E13" t="str">
        <f t="shared" si="0"/>
        <v>Coal Tar</v>
      </c>
      <c r="F13" s="3">
        <v>0.10119214</v>
      </c>
      <c r="G13" t="s">
        <v>6</v>
      </c>
    </row>
    <row r="14" spans="1:7" x14ac:dyDescent="0.5">
      <c r="A14" t="s">
        <v>645</v>
      </c>
      <c r="B14">
        <v>350</v>
      </c>
      <c r="C14" t="s">
        <v>658</v>
      </c>
      <c r="D14" t="s">
        <v>1163</v>
      </c>
      <c r="E14" t="str">
        <f t="shared" si="0"/>
        <v>Coke Oven Gas</v>
      </c>
      <c r="F14" s="3">
        <v>3.2958637250000002</v>
      </c>
      <c r="G14" t="s">
        <v>6</v>
      </c>
    </row>
    <row r="15" spans="1:7" x14ac:dyDescent="0.5">
      <c r="A15" t="s">
        <v>645</v>
      </c>
      <c r="B15">
        <v>360</v>
      </c>
      <c r="C15" t="s">
        <v>659</v>
      </c>
      <c r="D15" t="s">
        <v>1163</v>
      </c>
      <c r="E15" t="str">
        <f t="shared" si="0"/>
        <v>Gasworks Gas</v>
      </c>
      <c r="F15" s="3">
        <v>0.44819047710068199</v>
      </c>
      <c r="G15" t="s">
        <v>6</v>
      </c>
    </row>
    <row r="16" spans="1:7" x14ac:dyDescent="0.5">
      <c r="A16" t="s">
        <v>645</v>
      </c>
      <c r="B16">
        <v>371</v>
      </c>
      <c r="C16" t="s">
        <v>660</v>
      </c>
      <c r="D16" t="s">
        <v>1163</v>
      </c>
      <c r="E16" t="str">
        <f t="shared" si="0"/>
        <v>Blast Furnace Gas</v>
      </c>
      <c r="F16" s="3">
        <v>6.7322060190000004</v>
      </c>
      <c r="G16" t="s">
        <v>6</v>
      </c>
    </row>
    <row r="17" spans="1:7" x14ac:dyDescent="0.5">
      <c r="A17" t="s">
        <v>645</v>
      </c>
      <c r="B17">
        <v>379</v>
      </c>
      <c r="C17" t="s">
        <v>661</v>
      </c>
      <c r="D17" t="s">
        <v>1163</v>
      </c>
      <c r="E17" t="str">
        <f t="shared" si="0"/>
        <v>Other recovered gases</v>
      </c>
      <c r="F17" s="3">
        <v>0.638257042</v>
      </c>
      <c r="G17" t="s">
        <v>6</v>
      </c>
    </row>
    <row r="18" spans="1:7" x14ac:dyDescent="0.5">
      <c r="A18" t="s">
        <v>645</v>
      </c>
      <c r="B18">
        <v>390</v>
      </c>
      <c r="C18" t="s">
        <v>662</v>
      </c>
      <c r="D18" t="s">
        <v>1163</v>
      </c>
      <c r="E18" t="str">
        <f t="shared" si="0"/>
        <v>Other coal products</v>
      </c>
      <c r="F18" s="3" t="s">
        <v>1174</v>
      </c>
      <c r="G18" t="s">
        <v>6</v>
      </c>
    </row>
    <row r="19" spans="1:7" x14ac:dyDescent="0.5">
      <c r="A19" t="s">
        <v>645</v>
      </c>
      <c r="B19">
        <v>1100</v>
      </c>
      <c r="C19" t="s">
        <v>663</v>
      </c>
      <c r="D19" t="s">
        <v>1164</v>
      </c>
      <c r="E19" t="str">
        <f t="shared" si="0"/>
        <v>Peat</v>
      </c>
      <c r="F19" s="3">
        <v>0.10849327947304001</v>
      </c>
      <c r="G19" t="s">
        <v>6</v>
      </c>
    </row>
    <row r="20" spans="1:7" x14ac:dyDescent="0.5">
      <c r="A20" t="s">
        <v>645</v>
      </c>
      <c r="B20">
        <v>1200</v>
      </c>
      <c r="C20" t="s">
        <v>664</v>
      </c>
      <c r="D20" t="s">
        <v>1164</v>
      </c>
      <c r="E20" t="str">
        <f t="shared" si="0"/>
        <v>Peat Products</v>
      </c>
      <c r="F20" s="3">
        <v>1.652905776E-2</v>
      </c>
      <c r="G20" t="s">
        <v>6</v>
      </c>
    </row>
    <row r="21" spans="1:7" x14ac:dyDescent="0.5">
      <c r="A21" t="s">
        <v>645</v>
      </c>
      <c r="B21">
        <v>2000</v>
      </c>
      <c r="C21" t="s">
        <v>665</v>
      </c>
      <c r="D21" t="s">
        <v>753</v>
      </c>
      <c r="E21" t="str">
        <f t="shared" si="0"/>
        <v>Oil Shale / Oil Sands</v>
      </c>
      <c r="F21" s="3">
        <v>0.13464358193000001</v>
      </c>
      <c r="G21" t="s">
        <v>753</v>
      </c>
    </row>
    <row r="22" spans="1:7" x14ac:dyDescent="0.5">
      <c r="A22" t="s">
        <v>645</v>
      </c>
      <c r="B22">
        <v>3000</v>
      </c>
      <c r="C22" t="s">
        <v>666</v>
      </c>
      <c r="D22" t="s">
        <v>1165</v>
      </c>
      <c r="E22" t="str">
        <f t="shared" si="0"/>
        <v>Natural Gas (including LNG)</v>
      </c>
      <c r="F22" s="3">
        <v>160.05866571095001</v>
      </c>
      <c r="G22" t="s">
        <v>1165</v>
      </c>
    </row>
    <row r="23" spans="1:7" x14ac:dyDescent="0.5">
      <c r="A23" t="s">
        <v>645</v>
      </c>
      <c r="B23">
        <v>4100</v>
      </c>
      <c r="C23" t="s">
        <v>667</v>
      </c>
      <c r="D23" t="s">
        <v>753</v>
      </c>
      <c r="E23" t="str">
        <f t="shared" si="0"/>
        <v>Conventional crude oil</v>
      </c>
      <c r="F23" s="3">
        <v>166.95153485517201</v>
      </c>
      <c r="G23" t="s">
        <v>753</v>
      </c>
    </row>
    <row r="24" spans="1:7" x14ac:dyDescent="0.5">
      <c r="A24" t="s">
        <v>645</v>
      </c>
      <c r="B24">
        <v>4200</v>
      </c>
      <c r="C24" t="s">
        <v>668</v>
      </c>
      <c r="D24" t="s">
        <v>753</v>
      </c>
      <c r="E24" t="str">
        <f t="shared" si="0"/>
        <v>Natural Gas Liquids</v>
      </c>
      <c r="F24" s="3">
        <v>20.581352046895201</v>
      </c>
      <c r="G24" t="s">
        <v>753</v>
      </c>
    </row>
    <row r="25" spans="1:7" x14ac:dyDescent="0.5">
      <c r="A25" t="s">
        <v>645</v>
      </c>
      <c r="B25">
        <v>4300</v>
      </c>
      <c r="C25" t="s">
        <v>669</v>
      </c>
      <c r="D25" t="s">
        <v>753</v>
      </c>
      <c r="E25" t="str">
        <f t="shared" si="0"/>
        <v>Refinery Feedstocks</v>
      </c>
      <c r="F25" s="3" t="s">
        <v>1174</v>
      </c>
      <c r="G25" t="s">
        <v>753</v>
      </c>
    </row>
    <row r="26" spans="1:7" x14ac:dyDescent="0.5">
      <c r="A26" t="s">
        <v>645</v>
      </c>
      <c r="B26">
        <v>4400</v>
      </c>
      <c r="C26" t="s">
        <v>670</v>
      </c>
      <c r="D26" t="s">
        <v>753</v>
      </c>
      <c r="E26" t="str">
        <f t="shared" si="0"/>
        <v>Additives and Oxygenates</v>
      </c>
      <c r="F26" s="3">
        <v>0.17054548359399999</v>
      </c>
      <c r="G26" t="s">
        <v>753</v>
      </c>
    </row>
    <row r="27" spans="1:7" x14ac:dyDescent="0.5">
      <c r="A27" t="s">
        <v>645</v>
      </c>
      <c r="B27">
        <v>4500</v>
      </c>
      <c r="C27" t="s">
        <v>671</v>
      </c>
      <c r="D27" t="s">
        <v>753</v>
      </c>
      <c r="E27" t="str">
        <f t="shared" si="0"/>
        <v>Other hydrocarbons</v>
      </c>
      <c r="F27" s="3">
        <v>2.6993407242240002</v>
      </c>
      <c r="G27" t="s">
        <v>753</v>
      </c>
    </row>
    <row r="28" spans="1:7" x14ac:dyDescent="0.5">
      <c r="A28" t="s">
        <v>645</v>
      </c>
      <c r="B28">
        <v>4610</v>
      </c>
      <c r="C28" t="s">
        <v>672</v>
      </c>
      <c r="D28" t="s">
        <v>753</v>
      </c>
      <c r="E28" t="str">
        <f t="shared" si="0"/>
        <v>Refinery Gas</v>
      </c>
      <c r="F28" s="3">
        <v>5.6990801111500007</v>
      </c>
      <c r="G28" t="s">
        <v>753</v>
      </c>
    </row>
    <row r="29" spans="1:7" x14ac:dyDescent="0.5">
      <c r="A29" t="s">
        <v>645</v>
      </c>
      <c r="B29">
        <v>4620</v>
      </c>
      <c r="C29" t="s">
        <v>673</v>
      </c>
      <c r="D29" t="s">
        <v>753</v>
      </c>
      <c r="E29" t="str">
        <f t="shared" si="0"/>
        <v>Ethane</v>
      </c>
      <c r="F29" s="3">
        <v>3.6066542048112002</v>
      </c>
      <c r="G29" t="s">
        <v>753</v>
      </c>
    </row>
    <row r="30" spans="1:7" x14ac:dyDescent="0.5">
      <c r="A30" t="s">
        <v>645</v>
      </c>
      <c r="B30">
        <v>4630</v>
      </c>
      <c r="C30" t="s">
        <v>674</v>
      </c>
      <c r="D30" t="s">
        <v>753</v>
      </c>
      <c r="E30" t="str">
        <f t="shared" si="0"/>
        <v>Liquified Petroleum Gas</v>
      </c>
      <c r="F30" s="3">
        <v>14.583091260559101</v>
      </c>
      <c r="G30" t="s">
        <v>753</v>
      </c>
    </row>
    <row r="31" spans="1:7" x14ac:dyDescent="0.5">
      <c r="A31" t="s">
        <v>645</v>
      </c>
      <c r="B31">
        <v>4640</v>
      </c>
      <c r="C31" t="s">
        <v>675</v>
      </c>
      <c r="D31" t="s">
        <v>753</v>
      </c>
      <c r="E31" t="str">
        <f t="shared" si="0"/>
        <v>Naphtha</v>
      </c>
      <c r="F31" s="3">
        <v>13.936644790500001</v>
      </c>
      <c r="G31" t="s">
        <v>753</v>
      </c>
    </row>
    <row r="32" spans="1:7" x14ac:dyDescent="0.5">
      <c r="A32" t="s">
        <v>645</v>
      </c>
      <c r="B32">
        <v>4651</v>
      </c>
      <c r="C32" t="s">
        <v>676</v>
      </c>
      <c r="D32" t="s">
        <v>753</v>
      </c>
      <c r="E32" t="str">
        <f t="shared" si="0"/>
        <v>Aviation Gasoline</v>
      </c>
      <c r="F32" s="3">
        <v>5.3277068274999999E-2</v>
      </c>
      <c r="G32" t="s">
        <v>753</v>
      </c>
    </row>
    <row r="33" spans="1:7" x14ac:dyDescent="0.5">
      <c r="A33" t="s">
        <v>645</v>
      </c>
      <c r="B33">
        <v>4652</v>
      </c>
      <c r="C33" t="s">
        <v>677</v>
      </c>
      <c r="D33" t="s">
        <v>753</v>
      </c>
      <c r="E33" t="str">
        <f t="shared" si="0"/>
        <v>Motor Gasoline</v>
      </c>
      <c r="F33" s="3">
        <v>45.020893570540899</v>
      </c>
      <c r="G33" t="s">
        <v>753</v>
      </c>
    </row>
    <row r="34" spans="1:7" x14ac:dyDescent="0.5">
      <c r="A34" t="s">
        <v>645</v>
      </c>
      <c r="B34">
        <v>4653</v>
      </c>
      <c r="C34" t="s">
        <v>678</v>
      </c>
      <c r="D34" t="s">
        <v>753</v>
      </c>
      <c r="E34" t="str">
        <f t="shared" si="0"/>
        <v>Gasoline-type jet fuel</v>
      </c>
      <c r="F34" s="3">
        <v>1.4922543599999999E-2</v>
      </c>
      <c r="G34" t="s">
        <v>753</v>
      </c>
    </row>
    <row r="35" spans="1:7" x14ac:dyDescent="0.5">
      <c r="A35" t="s">
        <v>645</v>
      </c>
      <c r="B35">
        <v>4661</v>
      </c>
      <c r="C35" t="s">
        <v>679</v>
      </c>
      <c r="D35" t="s">
        <v>753</v>
      </c>
      <c r="E35" t="str">
        <f t="shared" si="0"/>
        <v>Kerosene-type Jet Fuel</v>
      </c>
      <c r="F35" s="3">
        <v>14.726375762414399</v>
      </c>
      <c r="G35" t="s">
        <v>753</v>
      </c>
    </row>
    <row r="36" spans="1:7" x14ac:dyDescent="0.5">
      <c r="A36" t="s">
        <v>645</v>
      </c>
      <c r="B36">
        <v>4669</v>
      </c>
      <c r="C36" t="s">
        <v>680</v>
      </c>
      <c r="D36" t="s">
        <v>753</v>
      </c>
      <c r="E36" t="str">
        <f t="shared" si="0"/>
        <v>Other kerosene</v>
      </c>
      <c r="F36" s="3">
        <v>2.2314323143938002</v>
      </c>
      <c r="G36" t="s">
        <v>753</v>
      </c>
    </row>
    <row r="37" spans="1:7" x14ac:dyDescent="0.5">
      <c r="A37" t="s">
        <v>645</v>
      </c>
      <c r="B37">
        <v>4670</v>
      </c>
      <c r="C37" t="s">
        <v>681</v>
      </c>
      <c r="D37" t="s">
        <v>753</v>
      </c>
      <c r="E37" t="str">
        <f t="shared" si="0"/>
        <v>Gas Oil/ Diesel Oil</v>
      </c>
      <c r="F37" s="3">
        <v>58.649864209995002</v>
      </c>
      <c r="G37" t="s">
        <v>753</v>
      </c>
    </row>
    <row r="38" spans="1:7" x14ac:dyDescent="0.5">
      <c r="A38" t="s">
        <v>645</v>
      </c>
      <c r="B38">
        <v>4680</v>
      </c>
      <c r="C38" t="s">
        <v>682</v>
      </c>
      <c r="D38" t="s">
        <v>753</v>
      </c>
      <c r="E38" t="str">
        <f t="shared" si="0"/>
        <v>Fuel Oil</v>
      </c>
      <c r="F38" s="3">
        <v>16.3189589950764</v>
      </c>
      <c r="G38" t="s">
        <v>753</v>
      </c>
    </row>
    <row r="39" spans="1:7" x14ac:dyDescent="0.5">
      <c r="A39" t="s">
        <v>645</v>
      </c>
      <c r="B39">
        <v>4691</v>
      </c>
      <c r="C39" t="s">
        <v>683</v>
      </c>
      <c r="D39" t="s">
        <v>753</v>
      </c>
      <c r="E39" t="str">
        <f t="shared" si="0"/>
        <v>White spirit and special boiling point industrial spirits</v>
      </c>
      <c r="F39" s="3">
        <v>0.2304150234</v>
      </c>
      <c r="G39" t="s">
        <v>753</v>
      </c>
    </row>
    <row r="40" spans="1:7" x14ac:dyDescent="0.5">
      <c r="A40" t="s">
        <v>645</v>
      </c>
      <c r="B40">
        <v>4692</v>
      </c>
      <c r="C40" t="s">
        <v>684</v>
      </c>
      <c r="D40" t="s">
        <v>753</v>
      </c>
      <c r="E40" t="str">
        <f t="shared" si="0"/>
        <v>Lubricants</v>
      </c>
      <c r="F40" s="3">
        <v>1.89263208</v>
      </c>
      <c r="G40" t="s">
        <v>753</v>
      </c>
    </row>
    <row r="41" spans="1:7" x14ac:dyDescent="0.5">
      <c r="A41" t="s">
        <v>645</v>
      </c>
      <c r="B41">
        <v>4693</v>
      </c>
      <c r="C41" t="s">
        <v>685</v>
      </c>
      <c r="D41" t="s">
        <v>753</v>
      </c>
      <c r="E41" t="str">
        <f t="shared" si="0"/>
        <v>Paraffin waxes</v>
      </c>
      <c r="F41" s="3">
        <v>0.19015355759999999</v>
      </c>
      <c r="G41" t="s">
        <v>753</v>
      </c>
    </row>
    <row r="42" spans="1:7" x14ac:dyDescent="0.5">
      <c r="A42" t="s">
        <v>645</v>
      </c>
      <c r="B42">
        <v>4694</v>
      </c>
      <c r="C42" t="s">
        <v>686</v>
      </c>
      <c r="D42" t="s">
        <v>753</v>
      </c>
      <c r="E42" t="str">
        <f t="shared" si="0"/>
        <v>Petroleum Coke</v>
      </c>
      <c r="F42" s="3">
        <v>4.5731482875000005</v>
      </c>
      <c r="G42" t="s">
        <v>753</v>
      </c>
    </row>
    <row r="43" spans="1:7" x14ac:dyDescent="0.5">
      <c r="A43" t="s">
        <v>645</v>
      </c>
      <c r="B43">
        <v>4695</v>
      </c>
      <c r="C43" t="s">
        <v>687</v>
      </c>
      <c r="D43" t="s">
        <v>753</v>
      </c>
      <c r="E43" t="str">
        <f t="shared" si="0"/>
        <v>Bitumen</v>
      </c>
      <c r="F43" s="3">
        <v>4.7016970010082</v>
      </c>
      <c r="G43" t="s">
        <v>753</v>
      </c>
    </row>
    <row r="44" spans="1:7" x14ac:dyDescent="0.5">
      <c r="A44" t="s">
        <v>645</v>
      </c>
      <c r="B44">
        <v>4699</v>
      </c>
      <c r="C44" t="s">
        <v>688</v>
      </c>
      <c r="D44" t="s">
        <v>753</v>
      </c>
      <c r="E44" t="str">
        <f t="shared" si="0"/>
        <v>Other oil products n.e.c.</v>
      </c>
      <c r="F44" s="3">
        <v>10.720099106400001</v>
      </c>
      <c r="G44" t="s">
        <v>753</v>
      </c>
    </row>
    <row r="45" spans="1:7" x14ac:dyDescent="0.5">
      <c r="A45" t="s">
        <v>645</v>
      </c>
      <c r="B45">
        <v>5110</v>
      </c>
      <c r="C45" t="s">
        <v>689</v>
      </c>
      <c r="D45" t="s">
        <v>1176</v>
      </c>
      <c r="E45" t="str">
        <f t="shared" si="0"/>
        <v>Fuelwood</v>
      </c>
      <c r="F45" s="3">
        <v>28.6738320976228</v>
      </c>
      <c r="G45" t="s">
        <v>3</v>
      </c>
    </row>
    <row r="46" spans="1:7" x14ac:dyDescent="0.5">
      <c r="A46" t="s">
        <v>645</v>
      </c>
      <c r="B46">
        <v>5120</v>
      </c>
      <c r="C46" t="s">
        <v>690</v>
      </c>
      <c r="D46" t="s">
        <v>1176</v>
      </c>
      <c r="E46" t="str">
        <f t="shared" si="0"/>
        <v>Bagasse</v>
      </c>
      <c r="F46" s="3">
        <v>3.95572529880857</v>
      </c>
      <c r="G46" t="s">
        <v>3</v>
      </c>
    </row>
    <row r="47" spans="1:7" x14ac:dyDescent="0.5">
      <c r="A47" t="s">
        <v>645</v>
      </c>
      <c r="B47">
        <v>5130</v>
      </c>
      <c r="C47" t="s">
        <v>691</v>
      </c>
      <c r="D47" t="s">
        <v>1168</v>
      </c>
      <c r="E47" t="str">
        <f t="shared" si="0"/>
        <v>Animal waste</v>
      </c>
      <c r="F47" s="3">
        <v>0.32814861140599999</v>
      </c>
      <c r="G47" t="s">
        <v>3</v>
      </c>
    </row>
    <row r="48" spans="1:7" x14ac:dyDescent="0.5">
      <c r="A48" t="s">
        <v>645</v>
      </c>
      <c r="B48">
        <v>5140</v>
      </c>
      <c r="C48" t="s">
        <v>692</v>
      </c>
      <c r="D48" t="s">
        <v>1176</v>
      </c>
      <c r="E48" t="str">
        <f t="shared" si="0"/>
        <v>Black liquor</v>
      </c>
      <c r="F48" s="3">
        <v>1.828804691</v>
      </c>
      <c r="G48" t="s">
        <v>3</v>
      </c>
    </row>
    <row r="49" spans="1:7" x14ac:dyDescent="0.5">
      <c r="A49" t="s">
        <v>645</v>
      </c>
      <c r="B49">
        <v>5150</v>
      </c>
      <c r="C49" t="s">
        <v>693</v>
      </c>
      <c r="D49" t="s">
        <v>1176</v>
      </c>
      <c r="E49" t="str">
        <f t="shared" si="0"/>
        <v>Other Vegetal Material and Residues</v>
      </c>
      <c r="F49" s="3">
        <v>7.5593624567999997</v>
      </c>
      <c r="G49" t="s">
        <v>3</v>
      </c>
    </row>
    <row r="50" spans="1:7" x14ac:dyDescent="0.5">
      <c r="A50" t="s">
        <v>645</v>
      </c>
      <c r="B50">
        <v>5160</v>
      </c>
      <c r="C50" t="s">
        <v>694</v>
      </c>
      <c r="D50" t="s">
        <v>1176</v>
      </c>
      <c r="E50" t="str">
        <f t="shared" si="0"/>
        <v>Charcoal</v>
      </c>
      <c r="F50" s="3">
        <v>1.9149449322830001</v>
      </c>
      <c r="G50" t="s">
        <v>3</v>
      </c>
    </row>
    <row r="51" spans="1:7" x14ac:dyDescent="0.5">
      <c r="A51" t="s">
        <v>645</v>
      </c>
      <c r="B51">
        <v>5210</v>
      </c>
      <c r="C51" t="s">
        <v>695</v>
      </c>
      <c r="D51" t="s">
        <v>1166</v>
      </c>
      <c r="E51" t="str">
        <f t="shared" si="0"/>
        <v>Biogasoline</v>
      </c>
      <c r="F51" s="3">
        <v>2.3650366774156</v>
      </c>
      <c r="G51" t="s">
        <v>3</v>
      </c>
    </row>
    <row r="52" spans="1:7" x14ac:dyDescent="0.5">
      <c r="A52" t="s">
        <v>645</v>
      </c>
      <c r="B52">
        <v>5212</v>
      </c>
      <c r="C52" t="s">
        <v>696</v>
      </c>
      <c r="E52" t="str">
        <f t="shared" si="0"/>
        <v>Of which: biogasoline</v>
      </c>
      <c r="F52" s="3" t="s">
        <v>1174</v>
      </c>
      <c r="G52" t="s">
        <v>1174</v>
      </c>
    </row>
    <row r="53" spans="1:7" x14ac:dyDescent="0.5">
      <c r="A53" t="s">
        <v>645</v>
      </c>
      <c r="B53">
        <v>5220</v>
      </c>
      <c r="C53" t="s">
        <v>697</v>
      </c>
      <c r="D53" t="s">
        <v>1166</v>
      </c>
      <c r="E53" t="str">
        <f t="shared" si="0"/>
        <v>Biodiesel</v>
      </c>
      <c r="F53" s="3">
        <v>1.8305419008079999</v>
      </c>
      <c r="G53" t="s">
        <v>3</v>
      </c>
    </row>
    <row r="54" spans="1:7" x14ac:dyDescent="0.5">
      <c r="A54" t="s">
        <v>645</v>
      </c>
      <c r="B54">
        <v>5222</v>
      </c>
      <c r="C54" t="s">
        <v>698</v>
      </c>
      <c r="E54" t="str">
        <f t="shared" si="0"/>
        <v>Of which: biodiesel</v>
      </c>
      <c r="F54" s="3" t="s">
        <v>1174</v>
      </c>
      <c r="G54" t="s">
        <v>1174</v>
      </c>
    </row>
    <row r="55" spans="1:7" x14ac:dyDescent="0.5">
      <c r="A55" t="s">
        <v>645</v>
      </c>
      <c r="B55">
        <v>5230</v>
      </c>
      <c r="C55" t="s">
        <v>699</v>
      </c>
      <c r="D55" t="s">
        <v>1166</v>
      </c>
      <c r="E55" t="str">
        <f t="shared" si="0"/>
        <v>Bio jet kerosene</v>
      </c>
      <c r="F55" s="3">
        <v>9.5999999999999992E-4</v>
      </c>
      <c r="G55" t="s">
        <v>3</v>
      </c>
    </row>
    <row r="56" spans="1:7" x14ac:dyDescent="0.5">
      <c r="A56" t="s">
        <v>645</v>
      </c>
      <c r="B56">
        <v>5232</v>
      </c>
      <c r="C56" t="s">
        <v>700</v>
      </c>
      <c r="E56" t="str">
        <f t="shared" si="0"/>
        <v>Of which: bio jet kerosene</v>
      </c>
      <c r="F56" s="3" t="s">
        <v>1174</v>
      </c>
      <c r="G56" t="s">
        <v>1174</v>
      </c>
    </row>
    <row r="57" spans="1:7" x14ac:dyDescent="0.5">
      <c r="A57" t="s">
        <v>645</v>
      </c>
      <c r="B57">
        <v>5290</v>
      </c>
      <c r="C57" t="s">
        <v>701</v>
      </c>
      <c r="D57" t="s">
        <v>1166</v>
      </c>
      <c r="E57" t="str">
        <f t="shared" si="0"/>
        <v>Other liquid biofuels</v>
      </c>
      <c r="F57" s="3">
        <v>5.2754014599999996E-2</v>
      </c>
      <c r="G57" t="s">
        <v>3</v>
      </c>
    </row>
    <row r="58" spans="1:7" x14ac:dyDescent="0.5">
      <c r="A58" t="s">
        <v>645</v>
      </c>
      <c r="B58">
        <v>5300</v>
      </c>
      <c r="C58" t="s">
        <v>702</v>
      </c>
      <c r="D58" t="s">
        <v>1167</v>
      </c>
      <c r="E58" t="str">
        <f t="shared" si="0"/>
        <v>Biogases</v>
      </c>
      <c r="F58" s="3">
        <v>1.005069601</v>
      </c>
      <c r="G58" t="s">
        <v>3</v>
      </c>
    </row>
    <row r="59" spans="1:7" x14ac:dyDescent="0.5">
      <c r="A59" t="s">
        <v>645</v>
      </c>
      <c r="B59">
        <v>6100</v>
      </c>
      <c r="C59" t="s">
        <v>703</v>
      </c>
      <c r="D59" t="s">
        <v>1168</v>
      </c>
      <c r="E59" t="str">
        <f t="shared" si="0"/>
        <v>Industrial Waste</v>
      </c>
      <c r="F59" s="3">
        <v>1.1328074730000002</v>
      </c>
      <c r="G59" t="s">
        <v>3</v>
      </c>
    </row>
    <row r="60" spans="1:7" x14ac:dyDescent="0.5">
      <c r="A60" t="s">
        <v>645</v>
      </c>
      <c r="B60">
        <v>6200</v>
      </c>
      <c r="C60" t="s">
        <v>704</v>
      </c>
      <c r="D60" t="s">
        <v>1168</v>
      </c>
      <c r="E60" t="str">
        <f t="shared" si="0"/>
        <v>Municipal Wastes</v>
      </c>
      <c r="F60" s="3">
        <v>1.40622359364</v>
      </c>
      <c r="G60" t="s">
        <v>3</v>
      </c>
    </row>
    <row r="61" spans="1:7" x14ac:dyDescent="0.5">
      <c r="A61" t="s">
        <v>645</v>
      </c>
      <c r="B61">
        <v>7000</v>
      </c>
      <c r="C61" t="s">
        <v>705</v>
      </c>
      <c r="D61" t="s">
        <v>755</v>
      </c>
      <c r="E61" t="str">
        <f t="shared" si="0"/>
        <v>Total Electricity</v>
      </c>
      <c r="F61" s="3">
        <v>97.177759466450496</v>
      </c>
      <c r="G61">
        <v>0</v>
      </c>
    </row>
    <row r="62" spans="1:7" x14ac:dyDescent="0.5">
      <c r="A62" t="s">
        <v>645</v>
      </c>
      <c r="B62" t="s">
        <v>706</v>
      </c>
      <c r="C62" t="s">
        <v>707</v>
      </c>
      <c r="D62" t="s">
        <v>11</v>
      </c>
      <c r="E62" t="str">
        <f t="shared" si="0"/>
        <v>Geothermal</v>
      </c>
      <c r="F62" s="3">
        <v>0.32442881774400001</v>
      </c>
      <c r="G62" t="s">
        <v>1428</v>
      </c>
    </row>
    <row r="63" spans="1:7" x14ac:dyDescent="0.5">
      <c r="A63" t="s">
        <v>645</v>
      </c>
      <c r="B63" t="s">
        <v>708</v>
      </c>
      <c r="C63" t="s">
        <v>13</v>
      </c>
      <c r="D63" t="s">
        <v>36</v>
      </c>
      <c r="E63" t="str">
        <f t="shared" si="0"/>
        <v>Hydro</v>
      </c>
      <c r="F63" s="3">
        <v>15.790699526724</v>
      </c>
      <c r="G63" t="s">
        <v>36</v>
      </c>
    </row>
    <row r="64" spans="1:7" x14ac:dyDescent="0.5">
      <c r="A64" t="s">
        <v>645</v>
      </c>
      <c r="B64" t="s">
        <v>709</v>
      </c>
      <c r="C64" t="s">
        <v>710</v>
      </c>
      <c r="D64" t="s">
        <v>19</v>
      </c>
      <c r="E64" t="str">
        <f t="shared" si="0"/>
        <v>Nuclear Electricity</v>
      </c>
      <c r="F64" s="3">
        <v>10.038963412799999</v>
      </c>
      <c r="G64" t="s">
        <v>19</v>
      </c>
    </row>
    <row r="65" spans="1:7" x14ac:dyDescent="0.5">
      <c r="A65" t="s">
        <v>645</v>
      </c>
      <c r="B65" t="s">
        <v>711</v>
      </c>
      <c r="C65" t="s">
        <v>712</v>
      </c>
      <c r="D65" t="s">
        <v>1169</v>
      </c>
      <c r="E65" t="str">
        <f t="shared" si="0"/>
        <v>Tide, wave and ocean electricity</v>
      </c>
      <c r="F65" s="3">
        <v>3.5581535999999999E-3</v>
      </c>
      <c r="G65" t="s">
        <v>1429</v>
      </c>
    </row>
    <row r="66" spans="1:7" x14ac:dyDescent="0.5">
      <c r="A66" t="s">
        <v>645</v>
      </c>
      <c r="B66" t="s">
        <v>713</v>
      </c>
      <c r="C66" t="s">
        <v>714</v>
      </c>
      <c r="D66" t="s">
        <v>30</v>
      </c>
      <c r="E66" t="str">
        <f t="shared" si="0"/>
        <v>Solar Electricity</v>
      </c>
      <c r="F66" s="3">
        <v>2.497362082704</v>
      </c>
      <c r="G66" t="s">
        <v>30</v>
      </c>
    </row>
    <row r="67" spans="1:7" x14ac:dyDescent="0.5">
      <c r="A67" t="s">
        <v>645</v>
      </c>
      <c r="B67" t="s">
        <v>715</v>
      </c>
      <c r="C67" t="s">
        <v>716</v>
      </c>
      <c r="D67" t="s">
        <v>1170</v>
      </c>
      <c r="E67" t="str">
        <f t="shared" ref="E67:E87" si="1">C67</f>
        <v>Thermal Electricity</v>
      </c>
      <c r="F67" s="3">
        <v>63.212383726358397</v>
      </c>
      <c r="G67" t="s">
        <v>1170</v>
      </c>
    </row>
    <row r="68" spans="1:7" x14ac:dyDescent="0.5">
      <c r="A68" t="s">
        <v>645</v>
      </c>
      <c r="B68" t="s">
        <v>717</v>
      </c>
      <c r="C68" t="s">
        <v>718</v>
      </c>
      <c r="D68" t="s">
        <v>35</v>
      </c>
      <c r="E68" t="str">
        <f t="shared" si="1"/>
        <v>Wind Electricity</v>
      </c>
      <c r="F68" s="3">
        <v>5.1358479361199993</v>
      </c>
      <c r="G68" t="s">
        <v>35</v>
      </c>
    </row>
    <row r="69" spans="1:7" x14ac:dyDescent="0.5">
      <c r="A69" t="s">
        <v>645</v>
      </c>
      <c r="B69">
        <v>8000</v>
      </c>
      <c r="C69" t="s">
        <v>719</v>
      </c>
      <c r="D69" t="s">
        <v>1171</v>
      </c>
      <c r="E69" t="str">
        <f t="shared" si="1"/>
        <v>Heat</v>
      </c>
      <c r="F69" s="3">
        <v>16.633949025890001</v>
      </c>
      <c r="G69" t="s">
        <v>1171</v>
      </c>
    </row>
    <row r="70" spans="1:7" x14ac:dyDescent="0.5">
      <c r="A70" t="s">
        <v>645</v>
      </c>
      <c r="B70" t="s">
        <v>720</v>
      </c>
      <c r="C70" t="s">
        <v>721</v>
      </c>
      <c r="D70" t="s">
        <v>1171</v>
      </c>
      <c r="E70" t="str">
        <f t="shared" si="1"/>
        <v>Heat from combustible fuels</v>
      </c>
      <c r="F70" s="3">
        <v>15.948967052890001</v>
      </c>
      <c r="G70" t="s">
        <v>1171</v>
      </c>
    </row>
    <row r="71" spans="1:7" x14ac:dyDescent="0.5">
      <c r="A71" t="s">
        <v>645</v>
      </c>
      <c r="B71">
        <v>9101</v>
      </c>
      <c r="C71" t="s">
        <v>722</v>
      </c>
      <c r="D71" t="s">
        <v>1172</v>
      </c>
      <c r="E71" t="str">
        <f t="shared" si="1"/>
        <v>Uranium</v>
      </c>
      <c r="F71" s="3" t="s">
        <v>1174</v>
      </c>
      <c r="G71" t="s">
        <v>19</v>
      </c>
    </row>
    <row r="72" spans="1:7" x14ac:dyDescent="0.5">
      <c r="A72" t="s">
        <v>645</v>
      </c>
      <c r="B72" t="s">
        <v>723</v>
      </c>
      <c r="C72" t="s">
        <v>724</v>
      </c>
      <c r="D72" t="s">
        <v>6</v>
      </c>
      <c r="E72" t="str">
        <f t="shared" si="1"/>
        <v>Primary coal and peat</v>
      </c>
      <c r="F72" s="3" t="s">
        <v>1174</v>
      </c>
      <c r="G72" t="s">
        <v>6</v>
      </c>
    </row>
    <row r="73" spans="1:7" x14ac:dyDescent="0.5">
      <c r="A73" t="s">
        <v>645</v>
      </c>
      <c r="B73" t="s">
        <v>725</v>
      </c>
      <c r="C73" t="s">
        <v>726</v>
      </c>
      <c r="D73" t="s">
        <v>6</v>
      </c>
      <c r="E73" t="str">
        <f t="shared" si="1"/>
        <v>Coal and peat products</v>
      </c>
      <c r="F73" s="3" t="s">
        <v>1174</v>
      </c>
      <c r="G73" t="s">
        <v>6</v>
      </c>
    </row>
    <row r="74" spans="1:7" x14ac:dyDescent="0.5">
      <c r="A74" t="s">
        <v>645</v>
      </c>
      <c r="B74" t="s">
        <v>727</v>
      </c>
      <c r="C74" t="s">
        <v>728</v>
      </c>
      <c r="D74" t="s">
        <v>753</v>
      </c>
      <c r="E74" t="str">
        <f t="shared" si="1"/>
        <v>Primary Oil</v>
      </c>
      <c r="F74" s="3" t="s">
        <v>1174</v>
      </c>
      <c r="G74" t="s">
        <v>753</v>
      </c>
    </row>
    <row r="75" spans="1:7" x14ac:dyDescent="0.5">
      <c r="A75" t="s">
        <v>645</v>
      </c>
      <c r="B75" t="s">
        <v>729</v>
      </c>
      <c r="C75" t="s">
        <v>730</v>
      </c>
      <c r="D75" t="s">
        <v>758</v>
      </c>
      <c r="E75" t="str">
        <f t="shared" si="1"/>
        <v>Oil Products</v>
      </c>
      <c r="F75" s="3" t="s">
        <v>1174</v>
      </c>
      <c r="G75" t="s">
        <v>753</v>
      </c>
    </row>
    <row r="76" spans="1:7" x14ac:dyDescent="0.5">
      <c r="A76" t="s">
        <v>645</v>
      </c>
      <c r="B76" t="s">
        <v>731</v>
      </c>
      <c r="C76" t="s">
        <v>732</v>
      </c>
      <c r="D76" t="s">
        <v>1165</v>
      </c>
      <c r="E76" t="str">
        <f t="shared" si="1"/>
        <v>Natural Gas</v>
      </c>
      <c r="F76" s="3" t="s">
        <v>1174</v>
      </c>
      <c r="G76" t="s">
        <v>1165</v>
      </c>
    </row>
    <row r="77" spans="1:7" x14ac:dyDescent="0.5">
      <c r="A77" t="s">
        <v>645</v>
      </c>
      <c r="B77" t="s">
        <v>733</v>
      </c>
      <c r="C77" t="s">
        <v>734</v>
      </c>
      <c r="D77" t="s">
        <v>1166</v>
      </c>
      <c r="E77" t="str">
        <f t="shared" si="1"/>
        <v>Biofuels and waste</v>
      </c>
      <c r="F77" s="3" t="s">
        <v>1174</v>
      </c>
      <c r="G77" t="s">
        <v>3</v>
      </c>
    </row>
    <row r="78" spans="1:7" x14ac:dyDescent="0.5">
      <c r="A78" t="s">
        <v>645</v>
      </c>
      <c r="B78" t="s">
        <v>735</v>
      </c>
      <c r="C78" t="s">
        <v>18</v>
      </c>
      <c r="D78" t="s">
        <v>19</v>
      </c>
      <c r="E78" t="str">
        <f t="shared" si="1"/>
        <v>Nuclear</v>
      </c>
      <c r="F78" s="3" t="s">
        <v>1174</v>
      </c>
      <c r="G78" t="s">
        <v>19</v>
      </c>
    </row>
    <row r="79" spans="1:7" x14ac:dyDescent="0.5">
      <c r="A79" t="s">
        <v>645</v>
      </c>
      <c r="B79" t="s">
        <v>736</v>
      </c>
      <c r="C79" t="s">
        <v>737</v>
      </c>
      <c r="D79" t="s">
        <v>755</v>
      </c>
      <c r="E79" t="str">
        <f t="shared" si="1"/>
        <v>Electricity</v>
      </c>
      <c r="F79" s="3" t="s">
        <v>1174</v>
      </c>
      <c r="G79">
        <v>0</v>
      </c>
    </row>
    <row r="80" spans="1:7" x14ac:dyDescent="0.5">
      <c r="A80" t="s">
        <v>645</v>
      </c>
      <c r="B80" t="s">
        <v>738</v>
      </c>
      <c r="C80" t="s">
        <v>719</v>
      </c>
      <c r="D80" t="s">
        <v>1171</v>
      </c>
      <c r="E80" t="str">
        <f t="shared" si="1"/>
        <v>Heat</v>
      </c>
      <c r="F80" s="3" t="s">
        <v>1174</v>
      </c>
      <c r="G80" t="s">
        <v>1171</v>
      </c>
    </row>
    <row r="81" spans="1:7" x14ac:dyDescent="0.5">
      <c r="A81" t="s">
        <v>645</v>
      </c>
      <c r="B81" t="s">
        <v>739</v>
      </c>
      <c r="C81" t="s">
        <v>740</v>
      </c>
      <c r="D81" t="s">
        <v>1173</v>
      </c>
      <c r="E81" t="str">
        <f t="shared" si="1"/>
        <v>Total energy</v>
      </c>
      <c r="F81" s="3" t="s">
        <v>1174</v>
      </c>
      <c r="G81">
        <v>0</v>
      </c>
    </row>
    <row r="82" spans="1:7" x14ac:dyDescent="0.5">
      <c r="A82" t="s">
        <v>645</v>
      </c>
      <c r="B82" t="s">
        <v>741</v>
      </c>
      <c r="C82" t="s">
        <v>742</v>
      </c>
      <c r="D82" t="s">
        <v>1174</v>
      </c>
      <c r="E82" t="str">
        <f t="shared" si="1"/>
        <v>Memo: Renewables</v>
      </c>
      <c r="F82" s="3" t="s">
        <v>1174</v>
      </c>
      <c r="G82" t="s">
        <v>1174</v>
      </c>
    </row>
    <row r="83" spans="1:7" x14ac:dyDescent="0.5">
      <c r="A83" t="s">
        <v>645</v>
      </c>
      <c r="B83" t="s">
        <v>743</v>
      </c>
      <c r="C83" t="s">
        <v>744</v>
      </c>
      <c r="D83" t="s">
        <v>11</v>
      </c>
      <c r="E83" t="str">
        <f t="shared" si="1"/>
        <v>Direct use of geothermal heat</v>
      </c>
      <c r="F83" s="3">
        <v>2.0485600000000001E-4</v>
      </c>
      <c r="G83" t="s">
        <v>1428</v>
      </c>
    </row>
    <row r="84" spans="1:7" x14ac:dyDescent="0.5">
      <c r="A84" t="s">
        <v>645</v>
      </c>
      <c r="B84" t="s">
        <v>745</v>
      </c>
      <c r="C84" t="s">
        <v>746</v>
      </c>
      <c r="D84" t="s">
        <v>754</v>
      </c>
      <c r="E84" t="str">
        <f t="shared" si="1"/>
        <v>Direct use of solar thermal heat</v>
      </c>
      <c r="F84" s="3" t="s">
        <v>1174</v>
      </c>
      <c r="G84" t="s">
        <v>30</v>
      </c>
    </row>
    <row r="85" spans="1:7" x14ac:dyDescent="0.5">
      <c r="A85" t="s">
        <v>645</v>
      </c>
      <c r="B85" t="s">
        <v>747</v>
      </c>
      <c r="C85" t="s">
        <v>748</v>
      </c>
      <c r="D85" t="s">
        <v>755</v>
      </c>
      <c r="E85" t="str">
        <f t="shared" si="1"/>
        <v>Electricity, net installed capacity of electric power plants</v>
      </c>
      <c r="F85" s="3" t="s">
        <v>1174</v>
      </c>
      <c r="G85">
        <v>0</v>
      </c>
    </row>
    <row r="86" spans="1:7" x14ac:dyDescent="0.5">
      <c r="A86" t="s">
        <v>645</v>
      </c>
      <c r="B86" t="s">
        <v>749</v>
      </c>
      <c r="C86" t="s">
        <v>750</v>
      </c>
      <c r="D86" t="s">
        <v>756</v>
      </c>
      <c r="E86" t="str">
        <f t="shared" si="1"/>
        <v>Total Refinery Output</v>
      </c>
      <c r="F86" s="3" t="s">
        <v>1174</v>
      </c>
      <c r="G86" t="s">
        <v>753</v>
      </c>
    </row>
    <row r="87" spans="1:7" x14ac:dyDescent="0.5">
      <c r="A87" t="s">
        <v>645</v>
      </c>
      <c r="B87" t="s">
        <v>751</v>
      </c>
      <c r="C87" t="s">
        <v>752</v>
      </c>
      <c r="D87" t="s">
        <v>757</v>
      </c>
      <c r="E87" t="str">
        <f t="shared" si="1"/>
        <v>Falling Water</v>
      </c>
      <c r="F87" s="3" t="s">
        <v>1174</v>
      </c>
      <c r="G87" t="s">
        <v>36</v>
      </c>
    </row>
  </sheetData>
  <sortState xmlns:xlrd2="http://schemas.microsoft.com/office/spreadsheetml/2017/richdata2" ref="J2:J27">
    <sortCondition ref="J2:J27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A2E9-6749-413C-AAB1-54DFB5DC4234}">
  <dimension ref="A1:M265"/>
  <sheetViews>
    <sheetView workbookViewId="0"/>
  </sheetViews>
  <sheetFormatPr defaultRowHeight="15.75" x14ac:dyDescent="0.5"/>
  <cols>
    <col min="1" max="1" width="12.625" bestFit="1" customWidth="1"/>
    <col min="2" max="2" width="9.875" bestFit="1" customWidth="1"/>
    <col min="3" max="3" width="64" bestFit="1" customWidth="1"/>
    <col min="4" max="4" width="7.25" bestFit="1" customWidth="1"/>
    <col min="5" max="5" width="7.25" customWidth="1"/>
    <col min="6" max="6" width="13.125" bestFit="1" customWidth="1"/>
  </cols>
  <sheetData>
    <row r="1" spans="1:13" x14ac:dyDescent="0.5">
      <c r="A1" t="s">
        <v>102</v>
      </c>
      <c r="B1" t="s">
        <v>103</v>
      </c>
      <c r="C1" t="s">
        <v>104</v>
      </c>
      <c r="D1" t="s">
        <v>1175</v>
      </c>
      <c r="E1" t="s">
        <v>1237</v>
      </c>
      <c r="F1" t="s">
        <v>1190</v>
      </c>
      <c r="G1" t="s">
        <v>1189</v>
      </c>
      <c r="H1" t="s">
        <v>1191</v>
      </c>
    </row>
    <row r="2" spans="1:13" x14ac:dyDescent="0.5">
      <c r="A2" t="s">
        <v>759</v>
      </c>
      <c r="B2" s="4">
        <v>1</v>
      </c>
      <c r="C2" t="s">
        <v>760</v>
      </c>
      <c r="D2" s="3">
        <v>816.55162220422289</v>
      </c>
      <c r="E2" s="1">
        <f>IF(B2=LEFT(B3,LEN(B2)),1,0)</f>
        <v>0</v>
      </c>
      <c r="F2" s="3" t="str">
        <f>VLOOKUP(LEFT(C2,3),$L$2:$M$37,2,FALSE)</f>
        <v>production</v>
      </c>
      <c r="L2" t="s">
        <v>1224</v>
      </c>
    </row>
    <row r="3" spans="1:13" x14ac:dyDescent="0.5">
      <c r="A3" t="s">
        <v>759</v>
      </c>
      <c r="B3" s="4">
        <v>10</v>
      </c>
      <c r="C3" t="s">
        <v>761</v>
      </c>
      <c r="D3" s="3" t="s">
        <v>1174</v>
      </c>
      <c r="E3" s="1">
        <f t="shared" ref="E3:E66" si="0">IF(B3=LEFT(B4,LEN(B3)),1,0)</f>
        <v>0</v>
      </c>
      <c r="F3" s="3" t="str">
        <f t="shared" ref="F3:F66" si="1">VLOOKUP(LEFT(C3,3),$L$2:$M$37,2,FALSE)</f>
        <v>production</v>
      </c>
      <c r="L3" t="s">
        <v>1227</v>
      </c>
    </row>
    <row r="4" spans="1:13" x14ac:dyDescent="0.5">
      <c r="A4" t="s">
        <v>759</v>
      </c>
      <c r="B4" s="4">
        <v>13</v>
      </c>
      <c r="C4" t="s">
        <v>762</v>
      </c>
      <c r="D4" s="3">
        <v>100.79773221977999</v>
      </c>
      <c r="E4" s="1">
        <f t="shared" si="0"/>
        <v>0</v>
      </c>
      <c r="F4" s="3" t="str">
        <f t="shared" si="1"/>
        <v>production</v>
      </c>
      <c r="L4" t="s">
        <v>1219</v>
      </c>
    </row>
    <row r="5" spans="1:13" x14ac:dyDescent="0.5">
      <c r="A5" t="s">
        <v>759</v>
      </c>
      <c r="B5" s="4">
        <v>14</v>
      </c>
      <c r="C5" t="s">
        <v>763</v>
      </c>
      <c r="D5" s="3">
        <v>11.9965613523112</v>
      </c>
      <c r="E5" s="1">
        <f t="shared" si="0"/>
        <v>0</v>
      </c>
      <c r="F5" s="3" t="str">
        <f t="shared" si="1"/>
        <v>production</v>
      </c>
      <c r="L5" t="s">
        <v>1213</v>
      </c>
      <c r="M5" t="s">
        <v>1228</v>
      </c>
    </row>
    <row r="6" spans="1:13" x14ac:dyDescent="0.5">
      <c r="A6" t="s">
        <v>759</v>
      </c>
      <c r="B6" s="4" t="s">
        <v>764</v>
      </c>
      <c r="C6" t="s">
        <v>765</v>
      </c>
      <c r="D6" s="3">
        <v>67.621493789752407</v>
      </c>
      <c r="E6" s="1">
        <f t="shared" si="0"/>
        <v>1</v>
      </c>
      <c r="F6" s="3" t="str">
        <f t="shared" si="1"/>
        <v>production</v>
      </c>
      <c r="L6" t="s">
        <v>1223</v>
      </c>
      <c r="M6" t="s">
        <v>737</v>
      </c>
    </row>
    <row r="7" spans="1:13" x14ac:dyDescent="0.5">
      <c r="A7" t="s">
        <v>759</v>
      </c>
      <c r="B7" s="4" t="s">
        <v>766</v>
      </c>
      <c r="C7" t="s">
        <v>767</v>
      </c>
      <c r="D7" s="3">
        <v>10.5121602638</v>
      </c>
      <c r="E7" s="1">
        <f t="shared" si="0"/>
        <v>0</v>
      </c>
      <c r="F7" s="3" t="str">
        <f t="shared" si="1"/>
        <v>production</v>
      </c>
      <c r="G7" t="s">
        <v>1236</v>
      </c>
      <c r="L7" t="s">
        <v>1204</v>
      </c>
    </row>
    <row r="8" spans="1:13" x14ac:dyDescent="0.5">
      <c r="A8" t="s">
        <v>759</v>
      </c>
      <c r="B8" s="4" t="s">
        <v>768</v>
      </c>
      <c r="C8" t="s">
        <v>769</v>
      </c>
      <c r="D8" s="3">
        <v>50.523939797522395</v>
      </c>
      <c r="E8" s="1">
        <f t="shared" si="0"/>
        <v>0</v>
      </c>
      <c r="F8" s="3" t="str">
        <f t="shared" si="1"/>
        <v>production</v>
      </c>
      <c r="G8" t="s">
        <v>1236</v>
      </c>
      <c r="L8" t="s">
        <v>1198</v>
      </c>
      <c r="M8" t="s">
        <v>1229</v>
      </c>
    </row>
    <row r="9" spans="1:13" x14ac:dyDescent="0.5">
      <c r="A9" t="s">
        <v>759</v>
      </c>
      <c r="B9" s="4" t="s">
        <v>770</v>
      </c>
      <c r="C9" t="s">
        <v>771</v>
      </c>
      <c r="D9" s="3">
        <v>6.5853937998900003</v>
      </c>
      <c r="E9" s="1">
        <f t="shared" si="0"/>
        <v>0</v>
      </c>
      <c r="F9" s="3" t="str">
        <f t="shared" si="1"/>
        <v>production</v>
      </c>
      <c r="G9" t="s">
        <v>1236</v>
      </c>
      <c r="L9" t="s">
        <v>1210</v>
      </c>
    </row>
    <row r="10" spans="1:13" x14ac:dyDescent="0.5">
      <c r="A10" t="s">
        <v>759</v>
      </c>
      <c r="B10" s="4" t="s">
        <v>772</v>
      </c>
      <c r="C10" t="s">
        <v>773</v>
      </c>
      <c r="D10" s="3">
        <v>4.2838073000000004E-2</v>
      </c>
      <c r="E10" s="1">
        <f t="shared" si="0"/>
        <v>0</v>
      </c>
      <c r="F10" s="3" t="str">
        <f t="shared" si="1"/>
        <v>production</v>
      </c>
      <c r="G10" t="s">
        <v>1236</v>
      </c>
      <c r="L10" t="s">
        <v>1212</v>
      </c>
    </row>
    <row r="11" spans="1:13" x14ac:dyDescent="0.5">
      <c r="A11" t="s">
        <v>759</v>
      </c>
      <c r="B11" s="4" t="s">
        <v>774</v>
      </c>
      <c r="C11" t="s">
        <v>775</v>
      </c>
      <c r="D11" s="3">
        <v>0.36932309114399997</v>
      </c>
      <c r="E11" s="1">
        <f t="shared" si="0"/>
        <v>1</v>
      </c>
      <c r="F11" s="3" t="str">
        <f t="shared" si="1"/>
        <v>production</v>
      </c>
      <c r="L11" t="s">
        <v>1208</v>
      </c>
    </row>
    <row r="12" spans="1:13" x14ac:dyDescent="0.5">
      <c r="A12" t="s">
        <v>759</v>
      </c>
      <c r="B12" s="4" t="s">
        <v>776</v>
      </c>
      <c r="C12" t="s">
        <v>777</v>
      </c>
      <c r="D12" s="3">
        <v>3.1574277999999997E-2</v>
      </c>
      <c r="E12" s="1">
        <f t="shared" si="0"/>
        <v>0</v>
      </c>
      <c r="F12" s="3" t="str">
        <f t="shared" si="1"/>
        <v>production</v>
      </c>
      <c r="G12" t="s">
        <v>1236</v>
      </c>
      <c r="L12" t="s">
        <v>1218</v>
      </c>
    </row>
    <row r="13" spans="1:13" x14ac:dyDescent="0.5">
      <c r="A13" t="s">
        <v>759</v>
      </c>
      <c r="B13" s="4" t="s">
        <v>778</v>
      </c>
      <c r="C13" t="s">
        <v>779</v>
      </c>
      <c r="D13" s="3">
        <v>0.30158337614399999</v>
      </c>
      <c r="E13" s="1">
        <f t="shared" si="0"/>
        <v>0</v>
      </c>
      <c r="F13" s="3" t="str">
        <f t="shared" si="1"/>
        <v>production</v>
      </c>
      <c r="G13" t="s">
        <v>1236</v>
      </c>
      <c r="L13" t="s">
        <v>1194</v>
      </c>
    </row>
    <row r="14" spans="1:13" x14ac:dyDescent="0.5">
      <c r="A14" t="s">
        <v>759</v>
      </c>
      <c r="B14" s="4" t="s">
        <v>780</v>
      </c>
      <c r="C14" t="s">
        <v>781</v>
      </c>
      <c r="D14" s="3">
        <v>3.6165436999999995E-2</v>
      </c>
      <c r="E14" s="1">
        <f t="shared" si="0"/>
        <v>0</v>
      </c>
      <c r="F14" s="3" t="str">
        <f t="shared" si="1"/>
        <v>production</v>
      </c>
      <c r="G14" t="s">
        <v>1236</v>
      </c>
      <c r="L14" t="s">
        <v>1217</v>
      </c>
    </row>
    <row r="15" spans="1:13" x14ac:dyDescent="0.5">
      <c r="A15" t="s">
        <v>759</v>
      </c>
      <c r="B15" s="4" t="s">
        <v>782</v>
      </c>
      <c r="C15" t="s">
        <v>783</v>
      </c>
      <c r="D15" s="3">
        <v>1.7999999999999998E-4</v>
      </c>
      <c r="E15" s="1">
        <f t="shared" si="0"/>
        <v>1</v>
      </c>
      <c r="F15" s="3" t="str">
        <f t="shared" si="1"/>
        <v>production</v>
      </c>
      <c r="L15" t="s">
        <v>1197</v>
      </c>
      <c r="M15" t="s">
        <v>1230</v>
      </c>
    </row>
    <row r="16" spans="1:13" x14ac:dyDescent="0.5">
      <c r="A16" t="s">
        <v>759</v>
      </c>
      <c r="B16" s="4" t="s">
        <v>784</v>
      </c>
      <c r="C16" t="s">
        <v>785</v>
      </c>
      <c r="D16" s="3">
        <v>1.7999999999999998E-4</v>
      </c>
      <c r="E16" s="1">
        <f t="shared" si="0"/>
        <v>0</v>
      </c>
      <c r="F16" s="3" t="str">
        <f t="shared" si="1"/>
        <v>production</v>
      </c>
      <c r="G16" t="s">
        <v>1236</v>
      </c>
      <c r="L16" t="s">
        <v>1199</v>
      </c>
      <c r="M16" t="s">
        <v>1228</v>
      </c>
    </row>
    <row r="17" spans="1:13" x14ac:dyDescent="0.5">
      <c r="A17" t="s">
        <v>759</v>
      </c>
      <c r="B17" s="4" t="s">
        <v>786</v>
      </c>
      <c r="C17" t="s">
        <v>787</v>
      </c>
      <c r="D17" s="3" t="s">
        <v>1174</v>
      </c>
      <c r="E17" s="1">
        <f t="shared" si="0"/>
        <v>0</v>
      </c>
      <c r="F17" s="3" t="str">
        <f t="shared" si="1"/>
        <v>production</v>
      </c>
      <c r="G17" t="s">
        <v>1236</v>
      </c>
      <c r="L17" t="s">
        <v>1206</v>
      </c>
      <c r="M17" t="s">
        <v>1235</v>
      </c>
    </row>
    <row r="18" spans="1:13" x14ac:dyDescent="0.5">
      <c r="A18" t="s">
        <v>759</v>
      </c>
      <c r="B18" s="4" t="s">
        <v>788</v>
      </c>
      <c r="C18" t="s">
        <v>789</v>
      </c>
      <c r="D18" s="3">
        <v>2.4695055E-2</v>
      </c>
      <c r="E18" s="1">
        <f t="shared" si="0"/>
        <v>0</v>
      </c>
      <c r="F18" s="3" t="str">
        <f t="shared" si="1"/>
        <v>production</v>
      </c>
      <c r="L18" t="s">
        <v>1195</v>
      </c>
    </row>
    <row r="19" spans="1:13" x14ac:dyDescent="0.5">
      <c r="A19" t="s">
        <v>759</v>
      </c>
      <c r="B19" s="4" t="s">
        <v>790</v>
      </c>
      <c r="C19" t="s">
        <v>791</v>
      </c>
      <c r="D19" s="3">
        <v>15.516971564723999</v>
      </c>
      <c r="E19" s="1">
        <f t="shared" si="0"/>
        <v>0</v>
      </c>
      <c r="F19" s="3" t="str">
        <f t="shared" si="1"/>
        <v>production</v>
      </c>
      <c r="G19" t="s">
        <v>1236</v>
      </c>
      <c r="L19" t="s">
        <v>1211</v>
      </c>
    </row>
    <row r="20" spans="1:13" x14ac:dyDescent="0.5">
      <c r="A20" t="s">
        <v>759</v>
      </c>
      <c r="B20" s="4" t="s">
        <v>792</v>
      </c>
      <c r="C20" t="s">
        <v>793</v>
      </c>
      <c r="D20" s="3">
        <v>10.0646103618</v>
      </c>
      <c r="E20" s="1">
        <f t="shared" si="0"/>
        <v>1</v>
      </c>
      <c r="F20" s="3" t="str">
        <f t="shared" si="1"/>
        <v>production</v>
      </c>
      <c r="G20" t="s">
        <v>1236</v>
      </c>
      <c r="L20" t="s">
        <v>1216</v>
      </c>
    </row>
    <row r="21" spans="1:13" x14ac:dyDescent="0.5">
      <c r="A21" t="s">
        <v>759</v>
      </c>
      <c r="B21" s="4" t="s">
        <v>794</v>
      </c>
      <c r="C21" t="s">
        <v>795</v>
      </c>
      <c r="D21" s="3">
        <v>2.0286977000000001E-2</v>
      </c>
      <c r="E21" s="1">
        <f t="shared" si="0"/>
        <v>0</v>
      </c>
      <c r="F21" s="3" t="str">
        <f t="shared" si="1"/>
        <v>production</v>
      </c>
      <c r="G21" t="s">
        <v>1236</v>
      </c>
      <c r="L21" t="s">
        <v>1193</v>
      </c>
    </row>
    <row r="22" spans="1:13" x14ac:dyDescent="0.5">
      <c r="A22" t="s">
        <v>759</v>
      </c>
      <c r="B22" s="4" t="s">
        <v>796</v>
      </c>
      <c r="C22" t="s">
        <v>797</v>
      </c>
      <c r="D22" s="3">
        <v>10.038963412799999</v>
      </c>
      <c r="E22" s="1">
        <f t="shared" si="0"/>
        <v>0</v>
      </c>
      <c r="F22" s="3" t="str">
        <f t="shared" si="1"/>
        <v>production</v>
      </c>
      <c r="G22" t="s">
        <v>1236</v>
      </c>
      <c r="L22" t="s">
        <v>1226</v>
      </c>
    </row>
    <row r="23" spans="1:13" x14ac:dyDescent="0.5">
      <c r="A23" t="s">
        <v>759</v>
      </c>
      <c r="B23" s="4" t="s">
        <v>798</v>
      </c>
      <c r="C23" t="s">
        <v>799</v>
      </c>
      <c r="D23" s="3">
        <v>5.3599720000000002E-3</v>
      </c>
      <c r="E23" s="1">
        <f t="shared" si="0"/>
        <v>0</v>
      </c>
      <c r="F23" s="3" t="str">
        <f t="shared" si="1"/>
        <v>production</v>
      </c>
      <c r="G23" t="s">
        <v>1236</v>
      </c>
      <c r="L23" t="s">
        <v>1203</v>
      </c>
    </row>
    <row r="24" spans="1:13" x14ac:dyDescent="0.5">
      <c r="A24" t="s">
        <v>759</v>
      </c>
      <c r="B24" s="4" t="s">
        <v>800</v>
      </c>
      <c r="C24" t="s">
        <v>801</v>
      </c>
      <c r="D24" s="3">
        <v>0.11169830380000001</v>
      </c>
      <c r="E24" s="1">
        <f t="shared" si="0"/>
        <v>1</v>
      </c>
      <c r="F24" s="3" t="str">
        <f t="shared" si="1"/>
        <v>production</v>
      </c>
      <c r="L24" t="s">
        <v>1205</v>
      </c>
      <c r="M24" t="s">
        <v>1231</v>
      </c>
    </row>
    <row r="25" spans="1:13" x14ac:dyDescent="0.5">
      <c r="A25" t="s">
        <v>759</v>
      </c>
      <c r="B25" s="4" t="s">
        <v>802</v>
      </c>
      <c r="C25" t="s">
        <v>803</v>
      </c>
      <c r="D25" s="3">
        <v>2.92147364E-2</v>
      </c>
      <c r="E25" s="1">
        <f t="shared" si="0"/>
        <v>0</v>
      </c>
      <c r="F25" s="3" t="str">
        <f t="shared" si="1"/>
        <v>production</v>
      </c>
      <c r="G25" t="s">
        <v>1236</v>
      </c>
      <c r="L25" t="s">
        <v>1192</v>
      </c>
      <c r="M25" t="s">
        <v>1232</v>
      </c>
    </row>
    <row r="26" spans="1:13" x14ac:dyDescent="0.5">
      <c r="A26" t="s">
        <v>759</v>
      </c>
      <c r="B26" s="4" t="s">
        <v>804</v>
      </c>
      <c r="C26" t="s">
        <v>805</v>
      </c>
      <c r="D26" s="3">
        <v>6.2538242399999999E-2</v>
      </c>
      <c r="E26" s="1">
        <f t="shared" si="0"/>
        <v>0</v>
      </c>
      <c r="F26" s="3" t="str">
        <f t="shared" si="1"/>
        <v>production</v>
      </c>
      <c r="G26" t="s">
        <v>1236</v>
      </c>
      <c r="L26" t="s">
        <v>1207</v>
      </c>
    </row>
    <row r="27" spans="1:13" x14ac:dyDescent="0.5">
      <c r="A27" t="s">
        <v>759</v>
      </c>
      <c r="B27" s="4" t="s">
        <v>806</v>
      </c>
      <c r="C27" t="s">
        <v>807</v>
      </c>
      <c r="D27" s="3">
        <v>1.9945325E-2</v>
      </c>
      <c r="E27" s="1">
        <f t="shared" si="0"/>
        <v>0</v>
      </c>
      <c r="F27" s="3" t="str">
        <f t="shared" si="1"/>
        <v>production</v>
      </c>
      <c r="G27" t="s">
        <v>1236</v>
      </c>
      <c r="L27" t="s">
        <v>1196</v>
      </c>
    </row>
    <row r="28" spans="1:13" x14ac:dyDescent="0.5">
      <c r="A28" t="s">
        <v>759</v>
      </c>
      <c r="B28" s="4" t="s">
        <v>808</v>
      </c>
      <c r="C28" t="s">
        <v>809</v>
      </c>
      <c r="D28" s="3">
        <v>0.39040052759999999</v>
      </c>
      <c r="E28" s="1">
        <f t="shared" si="0"/>
        <v>0</v>
      </c>
      <c r="F28" s="3">
        <f t="shared" si="1"/>
        <v>0</v>
      </c>
      <c r="L28" t="s">
        <v>1214</v>
      </c>
    </row>
    <row r="29" spans="1:13" x14ac:dyDescent="0.5">
      <c r="A29" t="s">
        <v>759</v>
      </c>
      <c r="B29" s="4" t="s">
        <v>810</v>
      </c>
      <c r="C29" t="s">
        <v>811</v>
      </c>
      <c r="D29" s="3">
        <v>1.969163199504</v>
      </c>
      <c r="E29" s="1">
        <f t="shared" si="0"/>
        <v>1</v>
      </c>
      <c r="F29" s="3" t="str">
        <f t="shared" si="1"/>
        <v>production</v>
      </c>
      <c r="L29" t="s">
        <v>1225</v>
      </c>
      <c r="M29" t="s">
        <v>1234</v>
      </c>
    </row>
    <row r="30" spans="1:13" x14ac:dyDescent="0.5">
      <c r="A30" t="s">
        <v>759</v>
      </c>
      <c r="B30" s="4" t="s">
        <v>812</v>
      </c>
      <c r="C30" t="s">
        <v>813</v>
      </c>
      <c r="D30" s="3">
        <v>1.928235627504</v>
      </c>
      <c r="E30" s="1">
        <f t="shared" si="0"/>
        <v>0</v>
      </c>
      <c r="F30" s="3" t="str">
        <f t="shared" si="1"/>
        <v>production</v>
      </c>
      <c r="G30" t="s">
        <v>1236</v>
      </c>
      <c r="L30" t="s">
        <v>1221</v>
      </c>
    </row>
    <row r="31" spans="1:13" x14ac:dyDescent="0.5">
      <c r="A31" t="s">
        <v>759</v>
      </c>
      <c r="B31" s="4" t="s">
        <v>814</v>
      </c>
      <c r="C31" t="s">
        <v>815</v>
      </c>
      <c r="D31" s="3">
        <v>4.3388324999999998E-2</v>
      </c>
      <c r="E31" s="1">
        <f t="shared" si="0"/>
        <v>0</v>
      </c>
      <c r="F31" s="3" t="str">
        <f t="shared" si="1"/>
        <v>production</v>
      </c>
      <c r="G31" t="s">
        <v>1236</v>
      </c>
      <c r="L31" t="s">
        <v>1200</v>
      </c>
    </row>
    <row r="32" spans="1:13" x14ac:dyDescent="0.5">
      <c r="A32" t="s">
        <v>759</v>
      </c>
      <c r="B32" s="4" t="s">
        <v>816</v>
      </c>
      <c r="C32" t="s">
        <v>817</v>
      </c>
      <c r="D32" s="3">
        <v>3.5077859999999997E-3</v>
      </c>
      <c r="E32" s="1">
        <f t="shared" si="0"/>
        <v>0</v>
      </c>
      <c r="F32" s="3" t="str">
        <f t="shared" si="1"/>
        <v>production</v>
      </c>
      <c r="G32" t="s">
        <v>1236</v>
      </c>
      <c r="L32" t="s">
        <v>1222</v>
      </c>
    </row>
    <row r="33" spans="1:13" x14ac:dyDescent="0.5">
      <c r="A33" t="s">
        <v>759</v>
      </c>
      <c r="B33" s="4" t="s">
        <v>818</v>
      </c>
      <c r="C33" t="s">
        <v>819</v>
      </c>
      <c r="D33" s="3">
        <v>4.9952218417200003</v>
      </c>
      <c r="E33" s="1">
        <f t="shared" si="0"/>
        <v>0</v>
      </c>
      <c r="F33" s="3" t="str">
        <f t="shared" si="1"/>
        <v>production</v>
      </c>
      <c r="G33" t="s">
        <v>1236</v>
      </c>
      <c r="L33" t="s">
        <v>1215</v>
      </c>
    </row>
    <row r="34" spans="1:13" x14ac:dyDescent="0.5">
      <c r="A34" t="s">
        <v>759</v>
      </c>
      <c r="B34" s="4" t="s">
        <v>820</v>
      </c>
      <c r="C34" t="s">
        <v>821</v>
      </c>
      <c r="D34" s="3">
        <v>11.539856989496</v>
      </c>
      <c r="E34" s="1">
        <f t="shared" si="0"/>
        <v>1</v>
      </c>
      <c r="F34" s="3" t="str">
        <f t="shared" si="1"/>
        <v>production</v>
      </c>
      <c r="L34" t="s">
        <v>1201</v>
      </c>
      <c r="M34" t="s">
        <v>1233</v>
      </c>
    </row>
    <row r="35" spans="1:13" x14ac:dyDescent="0.5">
      <c r="A35" t="s">
        <v>759</v>
      </c>
      <c r="B35" s="4" t="s">
        <v>822</v>
      </c>
      <c r="C35" t="s">
        <v>823</v>
      </c>
      <c r="D35" s="3">
        <v>3.0824679925999998</v>
      </c>
      <c r="E35" s="1">
        <f t="shared" si="0"/>
        <v>0</v>
      </c>
      <c r="F35" s="3" t="str">
        <f t="shared" si="1"/>
        <v>production</v>
      </c>
      <c r="G35" t="s">
        <v>1236</v>
      </c>
      <c r="L35" t="s">
        <v>1202</v>
      </c>
      <c r="M35" t="s">
        <v>1228</v>
      </c>
    </row>
    <row r="36" spans="1:13" x14ac:dyDescent="0.5">
      <c r="A36" t="s">
        <v>759</v>
      </c>
      <c r="B36" s="4" t="s">
        <v>824</v>
      </c>
      <c r="C36" t="s">
        <v>825</v>
      </c>
      <c r="D36" s="3">
        <v>5.2594501638960001</v>
      </c>
      <c r="E36" s="1">
        <f t="shared" si="0"/>
        <v>0</v>
      </c>
      <c r="F36" s="3" t="str">
        <f t="shared" si="1"/>
        <v>production</v>
      </c>
      <c r="G36" t="s">
        <v>1236</v>
      </c>
      <c r="L36" t="s">
        <v>1209</v>
      </c>
      <c r="M36" t="s">
        <v>1228</v>
      </c>
    </row>
    <row r="37" spans="1:13" x14ac:dyDescent="0.5">
      <c r="A37" t="s">
        <v>759</v>
      </c>
      <c r="B37" s="4" t="s">
        <v>826</v>
      </c>
      <c r="C37" t="s">
        <v>827</v>
      </c>
      <c r="D37" s="3">
        <v>3.1979388330000003</v>
      </c>
      <c r="E37" s="1">
        <f t="shared" si="0"/>
        <v>0</v>
      </c>
      <c r="F37" s="3" t="str">
        <f t="shared" si="1"/>
        <v>production</v>
      </c>
      <c r="G37" t="s">
        <v>1236</v>
      </c>
      <c r="L37" t="s">
        <v>1220</v>
      </c>
    </row>
    <row r="38" spans="1:13" x14ac:dyDescent="0.5">
      <c r="A38" t="s">
        <v>759</v>
      </c>
      <c r="B38" s="4" t="s">
        <v>828</v>
      </c>
      <c r="C38" t="s">
        <v>829</v>
      </c>
      <c r="D38" s="3">
        <v>6.4920116E-3</v>
      </c>
      <c r="E38" s="1">
        <f t="shared" si="0"/>
        <v>1</v>
      </c>
      <c r="F38" s="3" t="str">
        <f t="shared" si="1"/>
        <v>production</v>
      </c>
    </row>
    <row r="39" spans="1:13" x14ac:dyDescent="0.5">
      <c r="A39" t="s">
        <v>759</v>
      </c>
      <c r="B39" s="4" t="s">
        <v>830</v>
      </c>
      <c r="C39" t="s">
        <v>831</v>
      </c>
      <c r="D39" s="3">
        <v>2.19714E-4</v>
      </c>
      <c r="E39" s="1">
        <f t="shared" si="0"/>
        <v>0</v>
      </c>
      <c r="F39" s="3" t="str">
        <f t="shared" si="1"/>
        <v>production</v>
      </c>
      <c r="G39" t="s">
        <v>1236</v>
      </c>
    </row>
    <row r="40" spans="1:13" x14ac:dyDescent="0.5">
      <c r="A40" t="s">
        <v>759</v>
      </c>
      <c r="B40" s="4" t="s">
        <v>832</v>
      </c>
      <c r="C40" t="s">
        <v>833</v>
      </c>
      <c r="D40" s="3">
        <v>4.8143735999999996E-3</v>
      </c>
      <c r="E40" s="1">
        <f t="shared" si="0"/>
        <v>0</v>
      </c>
      <c r="F40" s="3" t="str">
        <f t="shared" si="1"/>
        <v>production</v>
      </c>
      <c r="G40" t="s">
        <v>1236</v>
      </c>
    </row>
    <row r="41" spans="1:13" x14ac:dyDescent="0.5">
      <c r="A41" t="s">
        <v>759</v>
      </c>
      <c r="B41" s="4" t="s">
        <v>834</v>
      </c>
      <c r="C41" t="s">
        <v>835</v>
      </c>
      <c r="D41" s="3">
        <v>1.457924E-3</v>
      </c>
      <c r="E41" s="1">
        <f t="shared" si="0"/>
        <v>0</v>
      </c>
      <c r="F41" s="3" t="str">
        <f t="shared" si="1"/>
        <v>production</v>
      </c>
      <c r="G41" t="s">
        <v>1236</v>
      </c>
    </row>
    <row r="42" spans="1:13" x14ac:dyDescent="0.5">
      <c r="A42" t="s">
        <v>759</v>
      </c>
      <c r="B42" s="4" t="s">
        <v>836</v>
      </c>
      <c r="C42" t="s">
        <v>837</v>
      </c>
      <c r="D42" s="3">
        <v>8.8976854999999994E-2</v>
      </c>
      <c r="E42" s="1">
        <f t="shared" si="0"/>
        <v>1</v>
      </c>
      <c r="F42" s="3" t="str">
        <f t="shared" si="1"/>
        <v>production</v>
      </c>
    </row>
    <row r="43" spans="1:13" x14ac:dyDescent="0.5">
      <c r="A43" t="s">
        <v>759</v>
      </c>
      <c r="B43" s="4" t="s">
        <v>838</v>
      </c>
      <c r="C43" t="s">
        <v>839</v>
      </c>
      <c r="D43" s="3">
        <v>4.3949765999999994E-2</v>
      </c>
      <c r="E43" s="1">
        <f t="shared" si="0"/>
        <v>0</v>
      </c>
      <c r="F43" s="3" t="str">
        <f t="shared" si="1"/>
        <v>production</v>
      </c>
    </row>
    <row r="44" spans="1:13" x14ac:dyDescent="0.5">
      <c r="A44" t="s">
        <v>759</v>
      </c>
      <c r="B44" s="4" t="s">
        <v>840</v>
      </c>
      <c r="C44" t="s">
        <v>841</v>
      </c>
      <c r="D44" s="3">
        <v>9.5484060000000006E-3</v>
      </c>
      <c r="E44" s="1">
        <f t="shared" si="0"/>
        <v>0</v>
      </c>
      <c r="F44" s="3" t="str">
        <f t="shared" si="1"/>
        <v>production</v>
      </c>
    </row>
    <row r="45" spans="1:13" x14ac:dyDescent="0.5">
      <c r="A45" t="s">
        <v>759</v>
      </c>
      <c r="B45" s="4" t="s">
        <v>842</v>
      </c>
      <c r="C45" t="s">
        <v>843</v>
      </c>
      <c r="D45" s="3">
        <v>3.5478682999999997E-2</v>
      </c>
      <c r="E45" s="1">
        <f t="shared" si="0"/>
        <v>0</v>
      </c>
      <c r="F45" s="3" t="str">
        <f t="shared" si="1"/>
        <v>production</v>
      </c>
    </row>
    <row r="46" spans="1:13" x14ac:dyDescent="0.5">
      <c r="A46" t="s">
        <v>759</v>
      </c>
      <c r="B46" s="4" t="s">
        <v>844</v>
      </c>
      <c r="C46" t="s">
        <v>845</v>
      </c>
      <c r="D46" s="3">
        <v>0.27372796199999999</v>
      </c>
      <c r="E46" s="1">
        <f t="shared" si="0"/>
        <v>0</v>
      </c>
      <c r="F46" s="3" t="str">
        <f t="shared" si="1"/>
        <v>production</v>
      </c>
    </row>
    <row r="47" spans="1:13" x14ac:dyDescent="0.5">
      <c r="A47" t="s">
        <v>759</v>
      </c>
      <c r="B47" s="4" t="s">
        <v>846</v>
      </c>
      <c r="C47" t="s">
        <v>847</v>
      </c>
      <c r="D47" s="3" t="s">
        <v>1174</v>
      </c>
      <c r="E47" s="1">
        <f t="shared" si="0"/>
        <v>1</v>
      </c>
      <c r="F47" s="3" t="str">
        <f t="shared" si="1"/>
        <v>production</v>
      </c>
    </row>
    <row r="48" spans="1:13" x14ac:dyDescent="0.5">
      <c r="A48" t="s">
        <v>759</v>
      </c>
      <c r="B48" s="4" t="s">
        <v>848</v>
      </c>
      <c r="C48" t="s">
        <v>849</v>
      </c>
      <c r="D48" s="3" t="s">
        <v>1174</v>
      </c>
      <c r="E48" s="1">
        <f t="shared" si="0"/>
        <v>0</v>
      </c>
      <c r="F48" s="3" t="str">
        <f t="shared" si="1"/>
        <v>production</v>
      </c>
    </row>
    <row r="49" spans="1:6" x14ac:dyDescent="0.5">
      <c r="A49" t="s">
        <v>759</v>
      </c>
      <c r="B49" s="4" t="s">
        <v>850</v>
      </c>
      <c r="C49" t="s">
        <v>851</v>
      </c>
      <c r="D49" s="3" t="s">
        <v>1174</v>
      </c>
      <c r="E49" s="1">
        <f t="shared" si="0"/>
        <v>0</v>
      </c>
      <c r="F49" s="3" t="str">
        <f t="shared" si="1"/>
        <v>production</v>
      </c>
    </row>
    <row r="50" spans="1:6" x14ac:dyDescent="0.5">
      <c r="A50" t="s">
        <v>759</v>
      </c>
      <c r="B50" s="4" t="s">
        <v>852</v>
      </c>
      <c r="C50" t="s">
        <v>853</v>
      </c>
      <c r="D50" s="3">
        <v>0.50568930960000003</v>
      </c>
      <c r="E50" s="1">
        <f t="shared" si="0"/>
        <v>1</v>
      </c>
      <c r="F50" s="3" t="str">
        <f t="shared" si="1"/>
        <v>production</v>
      </c>
    </row>
    <row r="51" spans="1:6" x14ac:dyDescent="0.5">
      <c r="A51" t="s">
        <v>759</v>
      </c>
      <c r="B51" s="4" t="s">
        <v>854</v>
      </c>
      <c r="C51" t="s">
        <v>855</v>
      </c>
      <c r="D51" s="3">
        <v>1.59306104E-2</v>
      </c>
      <c r="E51" s="1">
        <f t="shared" si="0"/>
        <v>0</v>
      </c>
      <c r="F51" s="3" t="str">
        <f t="shared" si="1"/>
        <v>production</v>
      </c>
    </row>
    <row r="52" spans="1:6" x14ac:dyDescent="0.5">
      <c r="A52" t="s">
        <v>759</v>
      </c>
      <c r="B52" s="4" t="s">
        <v>856</v>
      </c>
      <c r="C52" t="s">
        <v>857</v>
      </c>
      <c r="D52" s="3">
        <v>8.2281337199999999E-2</v>
      </c>
      <c r="E52" s="1">
        <f t="shared" si="0"/>
        <v>0</v>
      </c>
      <c r="F52" s="3" t="str">
        <f t="shared" si="1"/>
        <v>production</v>
      </c>
    </row>
    <row r="53" spans="1:6" x14ac:dyDescent="0.5">
      <c r="A53" t="s">
        <v>759</v>
      </c>
      <c r="B53" s="4" t="s">
        <v>858</v>
      </c>
      <c r="C53" t="s">
        <v>859</v>
      </c>
      <c r="D53" s="3">
        <v>0.40747736200000001</v>
      </c>
      <c r="E53" s="1">
        <f t="shared" si="0"/>
        <v>0</v>
      </c>
      <c r="F53" s="3" t="str">
        <f t="shared" si="1"/>
        <v>production</v>
      </c>
    </row>
    <row r="54" spans="1:6" x14ac:dyDescent="0.5">
      <c r="A54" t="s">
        <v>759</v>
      </c>
      <c r="B54" s="4" t="s">
        <v>860</v>
      </c>
      <c r="C54" t="s">
        <v>861</v>
      </c>
      <c r="D54" s="3">
        <v>7.6356000000000002E-6</v>
      </c>
      <c r="E54" s="1">
        <f t="shared" si="0"/>
        <v>0</v>
      </c>
      <c r="F54" s="3">
        <f t="shared" si="1"/>
        <v>0</v>
      </c>
    </row>
    <row r="55" spans="1:6" x14ac:dyDescent="0.5">
      <c r="A55" t="s">
        <v>759</v>
      </c>
      <c r="B55" s="4" t="s">
        <v>862</v>
      </c>
      <c r="C55" t="s">
        <v>863</v>
      </c>
      <c r="D55" s="3">
        <v>0.52819888319999997</v>
      </c>
      <c r="E55" s="1">
        <f t="shared" si="0"/>
        <v>1</v>
      </c>
      <c r="F55" s="3" t="str">
        <f t="shared" si="1"/>
        <v>production</v>
      </c>
    </row>
    <row r="56" spans="1:6" x14ac:dyDescent="0.5">
      <c r="A56" t="s">
        <v>759</v>
      </c>
      <c r="B56" s="4" t="s">
        <v>864</v>
      </c>
      <c r="C56" t="s">
        <v>865</v>
      </c>
      <c r="D56" s="3">
        <v>0.52231266719999991</v>
      </c>
      <c r="E56" s="1">
        <f t="shared" si="0"/>
        <v>0</v>
      </c>
      <c r="F56" s="3" t="str">
        <f t="shared" si="1"/>
        <v>production</v>
      </c>
    </row>
    <row r="57" spans="1:6" x14ac:dyDescent="0.5">
      <c r="A57" t="s">
        <v>759</v>
      </c>
      <c r="B57" s="4" t="s">
        <v>866</v>
      </c>
      <c r="C57" t="s">
        <v>867</v>
      </c>
      <c r="D57" s="3">
        <v>1.1812416000000001E-2</v>
      </c>
      <c r="E57" s="1">
        <f t="shared" si="0"/>
        <v>0</v>
      </c>
      <c r="F57" s="3" t="str">
        <f t="shared" si="1"/>
        <v>production</v>
      </c>
    </row>
    <row r="58" spans="1:6" x14ac:dyDescent="0.5">
      <c r="A58" t="s">
        <v>759</v>
      </c>
      <c r="B58" s="4" t="s">
        <v>868</v>
      </c>
      <c r="C58" t="s">
        <v>869</v>
      </c>
      <c r="D58" s="3">
        <v>5.0367599999999995E-5</v>
      </c>
      <c r="E58" s="1">
        <f t="shared" si="0"/>
        <v>0</v>
      </c>
      <c r="F58" s="3" t="str">
        <f t="shared" si="1"/>
        <v>production</v>
      </c>
    </row>
    <row r="59" spans="1:6" x14ac:dyDescent="0.5">
      <c r="A59" t="s">
        <v>759</v>
      </c>
      <c r="B59" s="4" t="s">
        <v>870</v>
      </c>
      <c r="C59" t="s">
        <v>871</v>
      </c>
      <c r="D59" s="3">
        <v>0.14062609440000001</v>
      </c>
      <c r="E59" s="1">
        <f t="shared" si="0"/>
        <v>0</v>
      </c>
      <c r="F59" s="3" t="str">
        <f t="shared" si="1"/>
        <v>production</v>
      </c>
    </row>
    <row r="60" spans="1:6" x14ac:dyDescent="0.5">
      <c r="A60" t="s">
        <v>759</v>
      </c>
      <c r="B60" s="4">
        <v>18</v>
      </c>
      <c r="C60" t="s">
        <v>872</v>
      </c>
      <c r="D60" s="3">
        <v>185.46350617854301</v>
      </c>
      <c r="E60" s="1">
        <f t="shared" si="0"/>
        <v>0</v>
      </c>
      <c r="F60" s="3">
        <f t="shared" si="1"/>
        <v>0</v>
      </c>
    </row>
    <row r="61" spans="1:6" x14ac:dyDescent="0.5">
      <c r="A61" t="s">
        <v>759</v>
      </c>
      <c r="B61" s="4">
        <v>19</v>
      </c>
      <c r="C61" t="s">
        <v>873</v>
      </c>
      <c r="D61" s="3">
        <v>108.32140368521</v>
      </c>
      <c r="E61" s="1">
        <f t="shared" si="0"/>
        <v>0</v>
      </c>
      <c r="F61" s="3">
        <f t="shared" si="1"/>
        <v>0</v>
      </c>
    </row>
    <row r="62" spans="1:6" x14ac:dyDescent="0.5">
      <c r="A62" t="s">
        <v>759</v>
      </c>
      <c r="B62" s="4" t="s">
        <v>874</v>
      </c>
      <c r="C62" t="s">
        <v>875</v>
      </c>
      <c r="D62" s="3" t="s">
        <v>1174</v>
      </c>
      <c r="E62" s="1">
        <f t="shared" si="0"/>
        <v>0</v>
      </c>
      <c r="F62" s="3" t="str">
        <f t="shared" si="1"/>
        <v>production</v>
      </c>
    </row>
    <row r="63" spans="1:6" x14ac:dyDescent="0.5">
      <c r="A63" t="s">
        <v>759</v>
      </c>
      <c r="B63" s="4" t="s">
        <v>876</v>
      </c>
      <c r="C63" t="s">
        <v>877</v>
      </c>
      <c r="D63" s="3" t="s">
        <v>1174</v>
      </c>
      <c r="E63" s="1">
        <f t="shared" si="0"/>
        <v>0</v>
      </c>
      <c r="F63" s="3" t="str">
        <f t="shared" si="1"/>
        <v>production</v>
      </c>
    </row>
    <row r="64" spans="1:6" x14ac:dyDescent="0.5">
      <c r="A64" t="s">
        <v>759</v>
      </c>
      <c r="B64" s="4" t="s">
        <v>878</v>
      </c>
      <c r="C64" t="s">
        <v>879</v>
      </c>
      <c r="D64" s="3" t="s">
        <v>1174</v>
      </c>
      <c r="E64" s="1">
        <f t="shared" si="0"/>
        <v>0</v>
      </c>
      <c r="F64" s="3" t="str">
        <f t="shared" si="1"/>
        <v>production</v>
      </c>
    </row>
    <row r="65" spans="1:6" x14ac:dyDescent="0.5">
      <c r="A65" t="s">
        <v>759</v>
      </c>
      <c r="B65" s="4" t="s">
        <v>880</v>
      </c>
      <c r="C65" t="s">
        <v>881</v>
      </c>
      <c r="D65" s="3" t="s">
        <v>1174</v>
      </c>
      <c r="E65" s="1">
        <f t="shared" si="0"/>
        <v>0</v>
      </c>
      <c r="F65" s="3" t="str">
        <f t="shared" si="1"/>
        <v>production</v>
      </c>
    </row>
    <row r="66" spans="1:6" x14ac:dyDescent="0.5">
      <c r="A66" t="s">
        <v>759</v>
      </c>
      <c r="B66" s="4" t="s">
        <v>882</v>
      </c>
      <c r="C66" t="s">
        <v>883</v>
      </c>
      <c r="D66" s="3" t="s">
        <v>1174</v>
      </c>
      <c r="E66" s="1">
        <f t="shared" si="0"/>
        <v>0</v>
      </c>
      <c r="F66" s="3" t="str">
        <f t="shared" si="1"/>
        <v>production</v>
      </c>
    </row>
    <row r="67" spans="1:6" x14ac:dyDescent="0.5">
      <c r="A67" t="s">
        <v>759</v>
      </c>
      <c r="B67" s="4" t="s">
        <v>884</v>
      </c>
      <c r="C67" t="s">
        <v>885</v>
      </c>
      <c r="D67" s="3" t="s">
        <v>1174</v>
      </c>
      <c r="E67" s="1">
        <f t="shared" ref="E67:E130" si="2">IF(B67=LEFT(B68,LEN(B67)),1,0)</f>
        <v>0</v>
      </c>
      <c r="F67" s="3" t="str">
        <f t="shared" ref="F67:F130" si="3">VLOOKUP(LEFT(C67,3),$L$2:$M$37,2,FALSE)</f>
        <v>production</v>
      </c>
    </row>
    <row r="68" spans="1:6" x14ac:dyDescent="0.5">
      <c r="A68" t="s">
        <v>759</v>
      </c>
      <c r="B68" s="4" t="s">
        <v>886</v>
      </c>
      <c r="C68" t="s">
        <v>887</v>
      </c>
      <c r="D68" s="3" t="s">
        <v>1174</v>
      </c>
      <c r="E68" s="1">
        <f t="shared" si="2"/>
        <v>1</v>
      </c>
      <c r="F68" s="3" t="str">
        <f t="shared" si="3"/>
        <v>production</v>
      </c>
    </row>
    <row r="69" spans="1:6" x14ac:dyDescent="0.5">
      <c r="A69" t="s">
        <v>759</v>
      </c>
      <c r="B69" s="4" t="s">
        <v>888</v>
      </c>
      <c r="C69" t="s">
        <v>889</v>
      </c>
      <c r="D69" s="3" t="s">
        <v>1174</v>
      </c>
      <c r="E69" s="1">
        <f t="shared" si="2"/>
        <v>0</v>
      </c>
      <c r="F69" s="3" t="str">
        <f t="shared" si="3"/>
        <v>production</v>
      </c>
    </row>
    <row r="70" spans="1:6" x14ac:dyDescent="0.5">
      <c r="A70" t="s">
        <v>759</v>
      </c>
      <c r="B70" s="4" t="s">
        <v>890</v>
      </c>
      <c r="C70" t="s">
        <v>891</v>
      </c>
      <c r="D70" s="3" t="s">
        <v>1174</v>
      </c>
      <c r="E70" s="1">
        <f t="shared" si="2"/>
        <v>0</v>
      </c>
      <c r="F70" s="3" t="str">
        <f t="shared" si="3"/>
        <v>production</v>
      </c>
    </row>
    <row r="71" spans="1:6" x14ac:dyDescent="0.5">
      <c r="A71" t="s">
        <v>759</v>
      </c>
      <c r="B71" s="4" t="s">
        <v>892</v>
      </c>
      <c r="C71" t="s">
        <v>893</v>
      </c>
      <c r="D71" s="3" t="s">
        <v>1174</v>
      </c>
      <c r="E71" s="1">
        <f t="shared" si="2"/>
        <v>0</v>
      </c>
      <c r="F71" s="3" t="str">
        <f t="shared" si="3"/>
        <v>production</v>
      </c>
    </row>
    <row r="72" spans="1:6" x14ac:dyDescent="0.5">
      <c r="A72" t="s">
        <v>759</v>
      </c>
      <c r="B72" s="4" t="s">
        <v>894</v>
      </c>
      <c r="C72" t="s">
        <v>895</v>
      </c>
      <c r="D72" s="3" t="s">
        <v>1174</v>
      </c>
      <c r="E72" s="1">
        <f t="shared" si="2"/>
        <v>0</v>
      </c>
      <c r="F72" s="3" t="str">
        <f t="shared" si="3"/>
        <v>production</v>
      </c>
    </row>
    <row r="73" spans="1:6" x14ac:dyDescent="0.5">
      <c r="A73" t="s">
        <v>759</v>
      </c>
      <c r="B73" s="4" t="s">
        <v>896</v>
      </c>
      <c r="C73" t="s">
        <v>897</v>
      </c>
      <c r="D73" s="3" t="s">
        <v>1174</v>
      </c>
      <c r="E73" s="1">
        <f t="shared" si="2"/>
        <v>0</v>
      </c>
      <c r="F73" s="3" t="str">
        <f t="shared" si="3"/>
        <v>production</v>
      </c>
    </row>
    <row r="74" spans="1:6" x14ac:dyDescent="0.5">
      <c r="A74" t="s">
        <v>759</v>
      </c>
      <c r="B74" s="4" t="s">
        <v>898</v>
      </c>
      <c r="C74" t="s">
        <v>899</v>
      </c>
      <c r="D74" s="3" t="s">
        <v>1174</v>
      </c>
      <c r="E74" s="1">
        <f t="shared" si="2"/>
        <v>0</v>
      </c>
      <c r="F74" s="3" t="str">
        <f t="shared" si="3"/>
        <v>production</v>
      </c>
    </row>
    <row r="75" spans="1:6" x14ac:dyDescent="0.5">
      <c r="A75" t="s">
        <v>759</v>
      </c>
      <c r="B75" s="4" t="s">
        <v>900</v>
      </c>
      <c r="C75" t="s">
        <v>901</v>
      </c>
      <c r="D75" s="3" t="s">
        <v>1174</v>
      </c>
      <c r="E75" s="1">
        <f t="shared" si="2"/>
        <v>0</v>
      </c>
      <c r="F75" s="3" t="str">
        <f t="shared" si="3"/>
        <v>production</v>
      </c>
    </row>
    <row r="76" spans="1:6" x14ac:dyDescent="0.5">
      <c r="A76" t="s">
        <v>759</v>
      </c>
      <c r="B76" s="4" t="s">
        <v>902</v>
      </c>
      <c r="C76" t="s">
        <v>903</v>
      </c>
      <c r="D76" s="3" t="s">
        <v>1174</v>
      </c>
      <c r="E76" s="1">
        <f t="shared" si="2"/>
        <v>0</v>
      </c>
      <c r="F76" s="3" t="str">
        <f t="shared" si="3"/>
        <v>production</v>
      </c>
    </row>
    <row r="77" spans="1:6" x14ac:dyDescent="0.5">
      <c r="A77" t="s">
        <v>759</v>
      </c>
      <c r="B77" s="4" t="s">
        <v>904</v>
      </c>
      <c r="C77" t="s">
        <v>905</v>
      </c>
      <c r="D77" s="3" t="s">
        <v>1174</v>
      </c>
      <c r="E77" s="1">
        <f t="shared" si="2"/>
        <v>0</v>
      </c>
      <c r="F77" s="3" t="str">
        <f t="shared" si="3"/>
        <v>production</v>
      </c>
    </row>
    <row r="78" spans="1:6" x14ac:dyDescent="0.5">
      <c r="A78" t="s">
        <v>759</v>
      </c>
      <c r="B78" s="4" t="s">
        <v>906</v>
      </c>
      <c r="C78" t="s">
        <v>907</v>
      </c>
      <c r="D78" s="3" t="s">
        <v>1174</v>
      </c>
      <c r="E78" s="1">
        <f t="shared" si="2"/>
        <v>0</v>
      </c>
      <c r="F78" s="3" t="str">
        <f t="shared" si="3"/>
        <v>production</v>
      </c>
    </row>
    <row r="79" spans="1:6" x14ac:dyDescent="0.5">
      <c r="A79" t="s">
        <v>759</v>
      </c>
      <c r="B79" s="4">
        <v>22</v>
      </c>
      <c r="C79" t="s">
        <v>908</v>
      </c>
      <c r="D79" s="3">
        <v>4.7260009097980005</v>
      </c>
      <c r="E79" s="1">
        <f t="shared" si="2"/>
        <v>0</v>
      </c>
      <c r="F79" s="3">
        <f t="shared" si="3"/>
        <v>0</v>
      </c>
    </row>
    <row r="80" spans="1:6" x14ac:dyDescent="0.5">
      <c r="A80" t="s">
        <v>759</v>
      </c>
      <c r="B80" s="4" t="s">
        <v>909</v>
      </c>
      <c r="C80" t="s">
        <v>910</v>
      </c>
      <c r="D80" s="3">
        <v>7.4630822360000001E-2</v>
      </c>
      <c r="E80" s="1">
        <f t="shared" si="2"/>
        <v>0</v>
      </c>
      <c r="F80" s="3">
        <f t="shared" si="3"/>
        <v>0</v>
      </c>
    </row>
    <row r="81" spans="1:7" x14ac:dyDescent="0.5">
      <c r="A81" t="s">
        <v>759</v>
      </c>
      <c r="B81" s="4">
        <v>3</v>
      </c>
      <c r="C81" t="s">
        <v>911</v>
      </c>
      <c r="D81" s="3">
        <v>226.87284692685901</v>
      </c>
      <c r="E81" s="1">
        <f t="shared" si="2"/>
        <v>0</v>
      </c>
      <c r="F81" s="3" t="str">
        <f t="shared" si="3"/>
        <v>Import</v>
      </c>
      <c r="G81" t="str">
        <f>C81</f>
        <v>Imports</v>
      </c>
    </row>
    <row r="82" spans="1:7" x14ac:dyDescent="0.5">
      <c r="A82" t="s">
        <v>759</v>
      </c>
      <c r="B82" s="4">
        <v>4</v>
      </c>
      <c r="C82" t="s">
        <v>912</v>
      </c>
      <c r="D82" s="3">
        <v>228.13662757372398</v>
      </c>
      <c r="E82" s="1">
        <f t="shared" si="2"/>
        <v>0</v>
      </c>
      <c r="F82" s="3" t="str">
        <f t="shared" si="3"/>
        <v>Export</v>
      </c>
      <c r="G82" t="str">
        <f>C82</f>
        <v>Exports</v>
      </c>
    </row>
    <row r="83" spans="1:7" x14ac:dyDescent="0.5">
      <c r="A83" t="s">
        <v>759</v>
      </c>
      <c r="B83" s="4">
        <v>51</v>
      </c>
      <c r="C83" t="s">
        <v>913</v>
      </c>
      <c r="D83" s="3">
        <v>8.7335148291860012</v>
      </c>
      <c r="E83" s="1">
        <f t="shared" si="2"/>
        <v>0</v>
      </c>
      <c r="F83" s="3" t="str">
        <f t="shared" si="3"/>
        <v>Consumption</v>
      </c>
      <c r="G83" t="s">
        <v>182</v>
      </c>
    </row>
    <row r="84" spans="1:7" x14ac:dyDescent="0.5">
      <c r="A84" t="s">
        <v>759</v>
      </c>
      <c r="B84" s="4">
        <v>52</v>
      </c>
      <c r="C84" t="s">
        <v>914</v>
      </c>
      <c r="D84" s="3" t="s">
        <v>1174</v>
      </c>
      <c r="E84" s="1">
        <f t="shared" si="2"/>
        <v>0</v>
      </c>
      <c r="F84" s="3" t="str">
        <f t="shared" si="3"/>
        <v>Consumption</v>
      </c>
      <c r="G84" t="s">
        <v>182</v>
      </c>
    </row>
    <row r="85" spans="1:7" x14ac:dyDescent="0.5">
      <c r="A85" t="s">
        <v>759</v>
      </c>
      <c r="B85" s="4">
        <v>6</v>
      </c>
      <c r="C85" t="s">
        <v>915</v>
      </c>
      <c r="D85" s="3">
        <v>5.8948192563972599</v>
      </c>
      <c r="E85" s="1">
        <f t="shared" si="2"/>
        <v>0</v>
      </c>
      <c r="F85" s="3">
        <f t="shared" si="3"/>
        <v>0</v>
      </c>
    </row>
    <row r="86" spans="1:7" x14ac:dyDescent="0.5">
      <c r="A86" t="s">
        <v>759</v>
      </c>
      <c r="B86" s="4">
        <v>7</v>
      </c>
      <c r="C86" t="s">
        <v>916</v>
      </c>
      <c r="D86" s="3">
        <v>-4.1793295135408295</v>
      </c>
      <c r="E86" s="1">
        <f t="shared" si="2"/>
        <v>0</v>
      </c>
      <c r="F86" s="3" t="str">
        <f t="shared" si="3"/>
        <v>transformation</v>
      </c>
    </row>
    <row r="87" spans="1:7" x14ac:dyDescent="0.5">
      <c r="A87" t="s">
        <v>759</v>
      </c>
      <c r="B87" s="4">
        <v>8</v>
      </c>
      <c r="C87" t="s">
        <v>917</v>
      </c>
      <c r="D87" s="3">
        <v>430.90564073856905</v>
      </c>
      <c r="E87" s="1">
        <f t="shared" si="2"/>
        <v>0</v>
      </c>
      <c r="F87" s="3" t="str">
        <f t="shared" si="3"/>
        <v>transformation</v>
      </c>
    </row>
    <row r="88" spans="1:7" x14ac:dyDescent="0.5">
      <c r="A88" t="s">
        <v>759</v>
      </c>
      <c r="B88" s="4">
        <v>81</v>
      </c>
      <c r="C88" t="s">
        <v>918</v>
      </c>
      <c r="D88" s="3">
        <v>21.852527915896999</v>
      </c>
      <c r="E88" s="1">
        <f t="shared" si="2"/>
        <v>0</v>
      </c>
      <c r="F88" s="3" t="str">
        <f t="shared" si="3"/>
        <v>transformation</v>
      </c>
    </row>
    <row r="89" spans="1:7" x14ac:dyDescent="0.5">
      <c r="A89" t="s">
        <v>759</v>
      </c>
      <c r="B89" s="4">
        <v>82</v>
      </c>
      <c r="C89" t="s">
        <v>919</v>
      </c>
      <c r="D89" s="3">
        <v>0.78909095512899996</v>
      </c>
      <c r="E89" s="1">
        <f t="shared" si="2"/>
        <v>0</v>
      </c>
      <c r="F89" s="3" t="str">
        <f t="shared" si="3"/>
        <v>transformation</v>
      </c>
    </row>
    <row r="90" spans="1:7" x14ac:dyDescent="0.5">
      <c r="A90" t="s">
        <v>759</v>
      </c>
      <c r="B90" s="4">
        <v>83</v>
      </c>
      <c r="C90" t="s">
        <v>920</v>
      </c>
      <c r="D90" s="3">
        <v>0.77442404506399998</v>
      </c>
      <c r="E90" s="1">
        <f t="shared" si="2"/>
        <v>0</v>
      </c>
      <c r="F90" s="3" t="str">
        <f t="shared" si="3"/>
        <v>transformation</v>
      </c>
    </row>
    <row r="91" spans="1:7" x14ac:dyDescent="0.5">
      <c r="A91" t="s">
        <v>759</v>
      </c>
      <c r="B91" s="4">
        <v>84</v>
      </c>
      <c r="C91" t="s">
        <v>921</v>
      </c>
      <c r="D91" s="3">
        <v>1.2638620059850001</v>
      </c>
      <c r="E91" s="1">
        <f t="shared" si="2"/>
        <v>0</v>
      </c>
      <c r="F91" s="3" t="str">
        <f t="shared" si="3"/>
        <v>transformation</v>
      </c>
    </row>
    <row r="92" spans="1:7" x14ac:dyDescent="0.5">
      <c r="A92" t="s">
        <v>759</v>
      </c>
      <c r="B92" s="4" t="s">
        <v>922</v>
      </c>
      <c r="C92" t="s">
        <v>923</v>
      </c>
      <c r="D92" s="3">
        <v>5.1884705185160502</v>
      </c>
      <c r="E92" s="1">
        <f t="shared" si="2"/>
        <v>0</v>
      </c>
      <c r="F92" s="3" t="str">
        <f t="shared" si="3"/>
        <v>transformation</v>
      </c>
    </row>
    <row r="93" spans="1:7" x14ac:dyDescent="0.5">
      <c r="A93" t="s">
        <v>759</v>
      </c>
      <c r="B93" s="4" t="s">
        <v>924</v>
      </c>
      <c r="C93" t="s">
        <v>925</v>
      </c>
      <c r="D93" s="3">
        <v>1.1685966860000001</v>
      </c>
      <c r="E93" s="1">
        <f t="shared" si="2"/>
        <v>0</v>
      </c>
      <c r="F93" s="3" t="str">
        <f t="shared" si="3"/>
        <v>Consumption</v>
      </c>
    </row>
    <row r="94" spans="1:7" x14ac:dyDescent="0.5">
      <c r="A94" t="s">
        <v>759</v>
      </c>
      <c r="B94" s="4" t="s">
        <v>926</v>
      </c>
      <c r="C94" t="s">
        <v>927</v>
      </c>
      <c r="D94" s="3">
        <v>1.5072398339999999</v>
      </c>
      <c r="E94" s="1">
        <f t="shared" si="2"/>
        <v>0</v>
      </c>
      <c r="F94" s="3" t="str">
        <f t="shared" si="3"/>
        <v>transformation</v>
      </c>
    </row>
    <row r="95" spans="1:7" x14ac:dyDescent="0.5">
      <c r="A95" t="s">
        <v>759</v>
      </c>
      <c r="B95" s="4" t="s">
        <v>928</v>
      </c>
      <c r="C95" t="s">
        <v>929</v>
      </c>
      <c r="D95" s="3">
        <v>0.97781706338200003</v>
      </c>
      <c r="E95" s="1">
        <f t="shared" si="2"/>
        <v>0</v>
      </c>
      <c r="F95" s="3" t="str">
        <f t="shared" si="3"/>
        <v>transformation</v>
      </c>
    </row>
    <row r="96" spans="1:7" x14ac:dyDescent="0.5">
      <c r="A96" t="s">
        <v>759</v>
      </c>
      <c r="B96" s="4" t="s">
        <v>930</v>
      </c>
      <c r="C96" t="s">
        <v>931</v>
      </c>
      <c r="D96" s="3">
        <v>3.2399324320000003</v>
      </c>
      <c r="E96" s="1">
        <f t="shared" si="2"/>
        <v>0</v>
      </c>
      <c r="F96" s="3" t="str">
        <f t="shared" si="3"/>
        <v>transformation</v>
      </c>
    </row>
    <row r="97" spans="1:7" x14ac:dyDescent="0.5">
      <c r="A97" t="s">
        <v>759</v>
      </c>
      <c r="B97" s="4">
        <v>86</v>
      </c>
      <c r="C97" t="s">
        <v>932</v>
      </c>
      <c r="D97" s="3">
        <v>187.686073960318</v>
      </c>
      <c r="E97" s="1">
        <f t="shared" si="2"/>
        <v>0</v>
      </c>
      <c r="F97" s="3" t="str">
        <f t="shared" si="3"/>
        <v>transformation</v>
      </c>
    </row>
    <row r="98" spans="1:7" x14ac:dyDescent="0.5">
      <c r="A98" t="s">
        <v>759</v>
      </c>
      <c r="B98" s="4">
        <v>87</v>
      </c>
      <c r="C98" t="s">
        <v>933</v>
      </c>
      <c r="D98" s="3">
        <v>0.20313403589999998</v>
      </c>
      <c r="E98" s="1">
        <f t="shared" si="2"/>
        <v>0</v>
      </c>
      <c r="F98" s="3" t="str">
        <f t="shared" si="3"/>
        <v>transformation</v>
      </c>
    </row>
    <row r="99" spans="1:7" x14ac:dyDescent="0.5">
      <c r="A99" t="s">
        <v>759</v>
      </c>
      <c r="B99" s="4">
        <v>88</v>
      </c>
      <c r="C99" t="s">
        <v>934</v>
      </c>
      <c r="D99" s="3">
        <v>194.55804673707399</v>
      </c>
      <c r="E99" s="1">
        <f t="shared" si="2"/>
        <v>0</v>
      </c>
      <c r="F99" s="3" t="str">
        <f t="shared" si="3"/>
        <v>transformation</v>
      </c>
    </row>
    <row r="100" spans="1:7" x14ac:dyDescent="0.5">
      <c r="A100" t="s">
        <v>759</v>
      </c>
      <c r="B100" s="4">
        <v>8811</v>
      </c>
      <c r="C100" t="s">
        <v>935</v>
      </c>
      <c r="D100" s="3">
        <v>144.41909448901598</v>
      </c>
      <c r="E100" s="1">
        <f t="shared" si="2"/>
        <v>0</v>
      </c>
      <c r="F100" s="3" t="str">
        <f t="shared" si="3"/>
        <v>transformation</v>
      </c>
      <c r="G100" t="s">
        <v>1236</v>
      </c>
    </row>
    <row r="101" spans="1:7" x14ac:dyDescent="0.5">
      <c r="A101" t="s">
        <v>759</v>
      </c>
      <c r="B101" s="4">
        <v>8812</v>
      </c>
      <c r="C101" t="s">
        <v>936</v>
      </c>
      <c r="D101" s="3">
        <v>12.218040126130999</v>
      </c>
      <c r="E101" s="1">
        <f t="shared" si="2"/>
        <v>0</v>
      </c>
      <c r="F101" s="3" t="str">
        <f t="shared" si="3"/>
        <v>transformation</v>
      </c>
      <c r="G101" t="s">
        <v>1236</v>
      </c>
    </row>
    <row r="102" spans="1:7" x14ac:dyDescent="0.5">
      <c r="A102" t="s">
        <v>759</v>
      </c>
      <c r="B102" s="4">
        <v>8821</v>
      </c>
      <c r="C102" t="s">
        <v>937</v>
      </c>
      <c r="D102" s="3">
        <v>20.081200437678302</v>
      </c>
      <c r="E102" s="1">
        <f t="shared" si="2"/>
        <v>0</v>
      </c>
      <c r="F102" s="3" t="str">
        <f t="shared" si="3"/>
        <v>transformation</v>
      </c>
      <c r="G102" t="s">
        <v>1236</v>
      </c>
    </row>
    <row r="103" spans="1:7" x14ac:dyDescent="0.5">
      <c r="A103" t="s">
        <v>759</v>
      </c>
      <c r="B103" s="4">
        <v>8822</v>
      </c>
      <c r="C103" t="s">
        <v>938</v>
      </c>
      <c r="D103" s="3">
        <v>6.0825965547158605</v>
      </c>
      <c r="E103" s="1">
        <f t="shared" si="2"/>
        <v>0</v>
      </c>
      <c r="F103" s="3" t="str">
        <f t="shared" si="3"/>
        <v>transformation</v>
      </c>
      <c r="G103" t="s">
        <v>1236</v>
      </c>
    </row>
    <row r="104" spans="1:7" x14ac:dyDescent="0.5">
      <c r="A104" t="s">
        <v>759</v>
      </c>
      <c r="B104" s="4">
        <v>8831</v>
      </c>
      <c r="C104" t="s">
        <v>939</v>
      </c>
      <c r="D104" s="3">
        <v>8.3649395032216205</v>
      </c>
      <c r="E104" s="1">
        <f t="shared" si="2"/>
        <v>0</v>
      </c>
      <c r="F104" s="3" t="str">
        <f t="shared" si="3"/>
        <v>transformation</v>
      </c>
      <c r="G104" t="s">
        <v>1236</v>
      </c>
    </row>
    <row r="105" spans="1:7" x14ac:dyDescent="0.5">
      <c r="A105" t="s">
        <v>759</v>
      </c>
      <c r="B105" s="4">
        <v>8832</v>
      </c>
      <c r="C105" t="s">
        <v>940</v>
      </c>
      <c r="D105" s="3">
        <v>3.39214932824208</v>
      </c>
      <c r="E105" s="1">
        <f t="shared" si="2"/>
        <v>0</v>
      </c>
      <c r="F105" s="3" t="str">
        <f t="shared" si="3"/>
        <v>transformation</v>
      </c>
      <c r="G105" t="s">
        <v>1236</v>
      </c>
    </row>
    <row r="106" spans="1:7" x14ac:dyDescent="0.5">
      <c r="A106" t="s">
        <v>759</v>
      </c>
      <c r="B106" s="4" t="s">
        <v>941</v>
      </c>
      <c r="C106" t="s">
        <v>942</v>
      </c>
      <c r="D106" s="3">
        <v>4.0200094000799998E-2</v>
      </c>
      <c r="E106" s="1">
        <f t="shared" si="2"/>
        <v>0</v>
      </c>
      <c r="F106" s="3" t="str">
        <f t="shared" si="3"/>
        <v>Consumption</v>
      </c>
      <c r="G106" t="s">
        <v>1236</v>
      </c>
    </row>
    <row r="107" spans="1:7" x14ac:dyDescent="0.5">
      <c r="A107" t="s">
        <v>759</v>
      </c>
      <c r="B107" s="4" t="s">
        <v>943</v>
      </c>
      <c r="C107" t="s">
        <v>944</v>
      </c>
      <c r="D107" s="3">
        <v>6.7834620000000005E-3</v>
      </c>
      <c r="E107" s="1">
        <f t="shared" si="2"/>
        <v>0</v>
      </c>
      <c r="F107" s="3" t="str">
        <f t="shared" si="3"/>
        <v>Consumption</v>
      </c>
      <c r="G107" t="s">
        <v>1236</v>
      </c>
    </row>
    <row r="108" spans="1:7" x14ac:dyDescent="0.5">
      <c r="A108" t="s">
        <v>759</v>
      </c>
      <c r="B108" s="4">
        <v>89</v>
      </c>
      <c r="C108" t="s">
        <v>945</v>
      </c>
      <c r="D108" s="3">
        <v>12.865021235304601</v>
      </c>
      <c r="E108" s="1">
        <f t="shared" si="2"/>
        <v>0</v>
      </c>
      <c r="F108" s="3">
        <f t="shared" si="3"/>
        <v>0</v>
      </c>
    </row>
    <row r="109" spans="1:7" x14ac:dyDescent="0.5">
      <c r="A109" t="s">
        <v>759</v>
      </c>
      <c r="B109" s="4">
        <v>9</v>
      </c>
      <c r="C109" t="s">
        <v>946</v>
      </c>
      <c r="D109" s="3">
        <v>32.5369047122824</v>
      </c>
      <c r="E109" s="1">
        <f t="shared" si="2"/>
        <v>0</v>
      </c>
      <c r="F109" s="3">
        <f t="shared" si="3"/>
        <v>0</v>
      </c>
    </row>
    <row r="110" spans="1:7" x14ac:dyDescent="0.5">
      <c r="A110" t="s">
        <v>759</v>
      </c>
      <c r="B110" s="4">
        <v>911</v>
      </c>
      <c r="C110" t="s">
        <v>947</v>
      </c>
      <c r="D110" s="3">
        <v>3.8834115857977998</v>
      </c>
      <c r="E110" s="1">
        <f t="shared" si="2"/>
        <v>0</v>
      </c>
      <c r="F110" s="3" t="str">
        <f t="shared" si="3"/>
        <v>consumption</v>
      </c>
      <c r="G110" t="s">
        <v>1177</v>
      </c>
    </row>
    <row r="111" spans="1:7" x14ac:dyDescent="0.5">
      <c r="A111" t="s">
        <v>759</v>
      </c>
      <c r="B111" s="4">
        <v>912</v>
      </c>
      <c r="C111" t="s">
        <v>948</v>
      </c>
      <c r="D111" s="3">
        <v>10.64975620591</v>
      </c>
      <c r="E111" s="1">
        <f t="shared" si="2"/>
        <v>0</v>
      </c>
      <c r="F111" s="3" t="str">
        <f t="shared" si="3"/>
        <v>consumption</v>
      </c>
      <c r="G111" t="s">
        <v>1177</v>
      </c>
    </row>
    <row r="112" spans="1:7" x14ac:dyDescent="0.5">
      <c r="A112" t="s">
        <v>759</v>
      </c>
      <c r="B112" s="4">
        <v>914</v>
      </c>
      <c r="C112" t="s">
        <v>949</v>
      </c>
      <c r="D112" s="3">
        <v>2.0054566000000003E-2</v>
      </c>
      <c r="E112" s="1">
        <f t="shared" si="2"/>
        <v>0</v>
      </c>
      <c r="F112" s="3" t="str">
        <f t="shared" si="3"/>
        <v>consumption</v>
      </c>
      <c r="G112" t="s">
        <v>1177</v>
      </c>
    </row>
    <row r="113" spans="1:7" x14ac:dyDescent="0.5">
      <c r="A113" t="s">
        <v>759</v>
      </c>
      <c r="B113" s="4">
        <v>915</v>
      </c>
      <c r="C113" t="s">
        <v>950</v>
      </c>
      <c r="D113" s="3">
        <v>5.0954148000000006E-3</v>
      </c>
      <c r="E113" s="1">
        <f t="shared" si="2"/>
        <v>0</v>
      </c>
      <c r="F113" s="3" t="str">
        <f t="shared" si="3"/>
        <v>consumption</v>
      </c>
      <c r="G113" t="s">
        <v>1177</v>
      </c>
    </row>
    <row r="114" spans="1:7" x14ac:dyDescent="0.5">
      <c r="A114" t="s">
        <v>759</v>
      </c>
      <c r="B114" s="4">
        <v>921</v>
      </c>
      <c r="C114" t="s">
        <v>951</v>
      </c>
      <c r="D114" s="3">
        <v>1.32343366962</v>
      </c>
      <c r="E114" s="1">
        <f t="shared" si="2"/>
        <v>0</v>
      </c>
      <c r="F114" s="3" t="str">
        <f t="shared" si="3"/>
        <v>consumption</v>
      </c>
      <c r="G114" t="s">
        <v>1177</v>
      </c>
    </row>
    <row r="115" spans="1:7" x14ac:dyDescent="0.5">
      <c r="A115" t="s">
        <v>759</v>
      </c>
      <c r="B115" s="4">
        <v>922</v>
      </c>
      <c r="C115" t="s">
        <v>952</v>
      </c>
      <c r="D115" s="3">
        <v>0.1791478477</v>
      </c>
      <c r="E115" s="1">
        <f t="shared" si="2"/>
        <v>0</v>
      </c>
      <c r="F115" s="3" t="str">
        <f t="shared" si="3"/>
        <v>consumption</v>
      </c>
      <c r="G115" t="s">
        <v>1177</v>
      </c>
    </row>
    <row r="116" spans="1:7" x14ac:dyDescent="0.5">
      <c r="A116" t="s">
        <v>759</v>
      </c>
      <c r="B116" s="4">
        <v>923</v>
      </c>
      <c r="C116" t="s">
        <v>953</v>
      </c>
      <c r="D116" s="3">
        <v>4.7465452400455001E-2</v>
      </c>
      <c r="E116" s="1">
        <f t="shared" si="2"/>
        <v>0</v>
      </c>
      <c r="F116" s="3" t="str">
        <f t="shared" si="3"/>
        <v>consumption</v>
      </c>
      <c r="G116" t="s">
        <v>1177</v>
      </c>
    </row>
    <row r="117" spans="1:7" x14ac:dyDescent="0.5">
      <c r="A117" t="s">
        <v>759</v>
      </c>
      <c r="B117" s="4">
        <v>924</v>
      </c>
      <c r="C117" t="s">
        <v>954</v>
      </c>
      <c r="D117" s="3">
        <v>0.13357650599999998</v>
      </c>
      <c r="E117" s="1">
        <f t="shared" si="2"/>
        <v>0</v>
      </c>
      <c r="F117" s="3" t="str">
        <f t="shared" si="3"/>
        <v>consumption</v>
      </c>
      <c r="G117" t="s">
        <v>1177</v>
      </c>
    </row>
    <row r="118" spans="1:7" x14ac:dyDescent="0.5">
      <c r="A118" t="s">
        <v>759</v>
      </c>
      <c r="B118" s="4">
        <v>925</v>
      </c>
      <c r="C118" t="s">
        <v>955</v>
      </c>
      <c r="D118" s="3">
        <v>11.574042313968</v>
      </c>
      <c r="E118" s="1">
        <f t="shared" si="2"/>
        <v>0</v>
      </c>
      <c r="F118" s="3" t="str">
        <f t="shared" si="3"/>
        <v>consumption</v>
      </c>
      <c r="G118" t="s">
        <v>1177</v>
      </c>
    </row>
    <row r="119" spans="1:7" x14ac:dyDescent="0.5">
      <c r="A119" t="s">
        <v>759</v>
      </c>
      <c r="B119" s="4">
        <v>926</v>
      </c>
      <c r="C119" t="s">
        <v>956</v>
      </c>
      <c r="D119" s="3">
        <v>0.36558242280000003</v>
      </c>
      <c r="E119" s="1">
        <f t="shared" si="2"/>
        <v>0</v>
      </c>
      <c r="F119" s="3" t="str">
        <f t="shared" si="3"/>
        <v>consumption</v>
      </c>
      <c r="G119" t="s">
        <v>1177</v>
      </c>
    </row>
    <row r="120" spans="1:7" x14ac:dyDescent="0.5">
      <c r="A120" t="s">
        <v>759</v>
      </c>
      <c r="B120" s="4">
        <v>927</v>
      </c>
      <c r="C120" t="s">
        <v>957</v>
      </c>
      <c r="D120" s="3">
        <v>6.07237583145307</v>
      </c>
      <c r="E120" s="1">
        <f t="shared" si="2"/>
        <v>0</v>
      </c>
      <c r="F120" s="3" t="str">
        <f t="shared" si="3"/>
        <v>consumption</v>
      </c>
      <c r="G120" t="s">
        <v>1177</v>
      </c>
    </row>
    <row r="121" spans="1:7" x14ac:dyDescent="0.5">
      <c r="A121" t="s">
        <v>759</v>
      </c>
      <c r="B121" s="4">
        <v>928</v>
      </c>
      <c r="C121" t="s">
        <v>958</v>
      </c>
      <c r="D121" s="3">
        <v>1.56266368560111</v>
      </c>
      <c r="E121" s="1">
        <f t="shared" si="2"/>
        <v>0</v>
      </c>
      <c r="F121" s="3">
        <f t="shared" si="3"/>
        <v>0</v>
      </c>
      <c r="G121" t="s">
        <v>1177</v>
      </c>
    </row>
    <row r="122" spans="1:7" x14ac:dyDescent="0.5">
      <c r="A122" t="s">
        <v>759</v>
      </c>
      <c r="B122" s="4">
        <v>930</v>
      </c>
      <c r="C122" t="s">
        <v>959</v>
      </c>
      <c r="D122" s="3">
        <v>0.68424589916400003</v>
      </c>
      <c r="E122" s="1">
        <f t="shared" si="2"/>
        <v>0</v>
      </c>
      <c r="F122" s="3" t="str">
        <f t="shared" si="3"/>
        <v>consumption</v>
      </c>
      <c r="G122" t="s">
        <v>1177</v>
      </c>
    </row>
    <row r="123" spans="1:7" x14ac:dyDescent="0.5">
      <c r="A123" t="s">
        <v>759</v>
      </c>
      <c r="B123" s="4">
        <v>931</v>
      </c>
      <c r="C123" t="s">
        <v>960</v>
      </c>
      <c r="D123" s="3">
        <v>0.31620479400000001</v>
      </c>
      <c r="E123" s="1">
        <f t="shared" si="2"/>
        <v>0</v>
      </c>
      <c r="F123" s="3" t="str">
        <f t="shared" si="3"/>
        <v>consumption</v>
      </c>
      <c r="G123" t="s">
        <v>1177</v>
      </c>
    </row>
    <row r="124" spans="1:7" x14ac:dyDescent="0.5">
      <c r="A124" t="s">
        <v>759</v>
      </c>
      <c r="B124" s="4">
        <v>932</v>
      </c>
      <c r="C124" t="s">
        <v>961</v>
      </c>
      <c r="D124" s="3" t="s">
        <v>1174</v>
      </c>
      <c r="E124" s="1">
        <f t="shared" si="2"/>
        <v>0</v>
      </c>
      <c r="F124" s="3" t="str">
        <f t="shared" si="3"/>
        <v>consumption</v>
      </c>
      <c r="G124" t="s">
        <v>1177</v>
      </c>
    </row>
    <row r="125" spans="1:7" x14ac:dyDescent="0.5">
      <c r="A125" t="s">
        <v>759</v>
      </c>
      <c r="B125" s="4">
        <v>933</v>
      </c>
      <c r="C125" t="s">
        <v>962</v>
      </c>
      <c r="D125" s="3">
        <v>2.8142998379999999E-5</v>
      </c>
      <c r="E125" s="1">
        <f t="shared" si="2"/>
        <v>0</v>
      </c>
      <c r="F125" s="3" t="str">
        <f t="shared" si="3"/>
        <v>consumption</v>
      </c>
      <c r="G125" t="s">
        <v>1177</v>
      </c>
    </row>
    <row r="126" spans="1:7" x14ac:dyDescent="0.5">
      <c r="A126" t="s">
        <v>759</v>
      </c>
      <c r="B126" s="4">
        <v>934</v>
      </c>
      <c r="C126" t="s">
        <v>963</v>
      </c>
      <c r="D126" s="3">
        <v>1.575707604</v>
      </c>
      <c r="E126" s="1">
        <f t="shared" si="2"/>
        <v>0</v>
      </c>
      <c r="F126" s="3" t="str">
        <f t="shared" si="3"/>
        <v>consumption</v>
      </c>
      <c r="G126" t="s">
        <v>1177</v>
      </c>
    </row>
    <row r="127" spans="1:7" x14ac:dyDescent="0.5">
      <c r="A127" t="s">
        <v>759</v>
      </c>
      <c r="B127" s="4">
        <v>101</v>
      </c>
      <c r="C127" t="s">
        <v>964</v>
      </c>
      <c r="D127" s="3">
        <v>9.962880376520399</v>
      </c>
      <c r="E127" s="1">
        <f t="shared" si="2"/>
        <v>0</v>
      </c>
      <c r="F127" s="3" t="str">
        <f t="shared" si="3"/>
        <v>losses</v>
      </c>
    </row>
    <row r="128" spans="1:7" x14ac:dyDescent="0.5">
      <c r="A128" t="s">
        <v>759</v>
      </c>
      <c r="B128" s="4">
        <v>103</v>
      </c>
      <c r="C128" t="s">
        <v>965</v>
      </c>
      <c r="D128" s="3">
        <v>12.638515141100001</v>
      </c>
      <c r="E128" s="1">
        <f t="shared" si="2"/>
        <v>0</v>
      </c>
      <c r="F128" s="3">
        <f t="shared" si="3"/>
        <v>0</v>
      </c>
    </row>
    <row r="129" spans="1:7" x14ac:dyDescent="0.5">
      <c r="A129" t="s">
        <v>759</v>
      </c>
      <c r="B129" s="4">
        <v>104</v>
      </c>
      <c r="C129" t="s">
        <v>966</v>
      </c>
      <c r="D129" s="3">
        <v>5.8549544402932794</v>
      </c>
      <c r="E129" s="1">
        <f t="shared" si="2"/>
        <v>0</v>
      </c>
      <c r="F129" s="3">
        <f t="shared" si="3"/>
        <v>0</v>
      </c>
    </row>
    <row r="130" spans="1:7" x14ac:dyDescent="0.5">
      <c r="A130" t="s">
        <v>759</v>
      </c>
      <c r="B130" s="4" t="s">
        <v>967</v>
      </c>
      <c r="C130" t="s">
        <v>968</v>
      </c>
      <c r="D130" s="3">
        <v>4.6978475252932803</v>
      </c>
      <c r="E130" s="1">
        <f t="shared" si="2"/>
        <v>0</v>
      </c>
      <c r="F130" s="3">
        <f t="shared" si="3"/>
        <v>0</v>
      </c>
    </row>
    <row r="131" spans="1:7" x14ac:dyDescent="0.5">
      <c r="A131" t="s">
        <v>759</v>
      </c>
      <c r="B131" s="4" t="s">
        <v>969</v>
      </c>
      <c r="C131" t="s">
        <v>970</v>
      </c>
      <c r="D131" s="3">
        <v>0.442655615</v>
      </c>
      <c r="E131" s="1">
        <f t="shared" ref="E131:E194" si="4">IF(B131=LEFT(B132,LEN(B131)),1,0)</f>
        <v>0</v>
      </c>
      <c r="F131" s="3" t="str">
        <f t="shared" ref="F131:F194" si="5">VLOOKUP(LEFT(C131,3),$L$2:$M$37,2,FALSE)</f>
        <v>Consumption</v>
      </c>
    </row>
    <row r="132" spans="1:7" x14ac:dyDescent="0.5">
      <c r="A132" t="s">
        <v>759</v>
      </c>
      <c r="B132" s="4">
        <v>105</v>
      </c>
      <c r="C132" t="s">
        <v>971</v>
      </c>
      <c r="D132" s="3">
        <v>6.9113708862000003</v>
      </c>
      <c r="E132" s="1">
        <f t="shared" si="4"/>
        <v>0</v>
      </c>
      <c r="F132" s="3">
        <f t="shared" si="5"/>
        <v>0</v>
      </c>
    </row>
    <row r="133" spans="1:7" x14ac:dyDescent="0.5">
      <c r="A133" t="s">
        <v>759</v>
      </c>
      <c r="B133" s="4">
        <v>11</v>
      </c>
      <c r="C133" t="s">
        <v>972</v>
      </c>
      <c r="D133" s="3">
        <v>30.219833133342998</v>
      </c>
      <c r="E133" s="1">
        <f t="shared" si="4"/>
        <v>0</v>
      </c>
      <c r="F133" s="3">
        <f t="shared" si="5"/>
        <v>0</v>
      </c>
    </row>
    <row r="134" spans="1:7" x14ac:dyDescent="0.5">
      <c r="A134" t="s">
        <v>759</v>
      </c>
      <c r="B134" s="4">
        <v>12</v>
      </c>
      <c r="C134" t="s">
        <v>973</v>
      </c>
      <c r="D134" s="3">
        <v>297.67610795057402</v>
      </c>
      <c r="E134" s="1">
        <f t="shared" si="4"/>
        <v>0</v>
      </c>
      <c r="F134" s="3">
        <f t="shared" si="5"/>
        <v>0</v>
      </c>
    </row>
    <row r="135" spans="1:7" x14ac:dyDescent="0.5">
      <c r="A135" t="s">
        <v>759</v>
      </c>
      <c r="B135" s="4">
        <v>121</v>
      </c>
      <c r="C135" t="s">
        <v>974</v>
      </c>
      <c r="D135" s="3">
        <v>112.737283233054</v>
      </c>
      <c r="E135" s="1">
        <f t="shared" si="4"/>
        <v>0</v>
      </c>
      <c r="F135" s="3" t="str">
        <f t="shared" si="5"/>
        <v>Consumption</v>
      </c>
    </row>
    <row r="136" spans="1:7" x14ac:dyDescent="0.5">
      <c r="A136" t="s">
        <v>759</v>
      </c>
      <c r="B136" s="4">
        <v>1211</v>
      </c>
      <c r="C136" t="s">
        <v>975</v>
      </c>
      <c r="D136" s="3">
        <v>13.9968441063823</v>
      </c>
      <c r="E136" s="1">
        <f t="shared" si="4"/>
        <v>0</v>
      </c>
      <c r="F136" s="3" t="str">
        <f t="shared" si="5"/>
        <v>Consumption</v>
      </c>
      <c r="G136" t="s">
        <v>1186</v>
      </c>
    </row>
    <row r="137" spans="1:7" x14ac:dyDescent="0.5">
      <c r="A137" t="s">
        <v>759</v>
      </c>
      <c r="B137" s="4">
        <v>1213</v>
      </c>
      <c r="C137" t="s">
        <v>976</v>
      </c>
      <c r="D137" s="3">
        <v>17.281816771697599</v>
      </c>
      <c r="E137" s="1">
        <f t="shared" si="4"/>
        <v>0</v>
      </c>
      <c r="F137" s="3" t="str">
        <f t="shared" si="5"/>
        <v>Consumption</v>
      </c>
      <c r="G137" t="s">
        <v>1186</v>
      </c>
    </row>
    <row r="138" spans="1:7" x14ac:dyDescent="0.5">
      <c r="A138" t="s">
        <v>759</v>
      </c>
      <c r="B138" s="4">
        <v>1214</v>
      </c>
      <c r="C138" t="s">
        <v>977</v>
      </c>
      <c r="D138" s="3">
        <v>81.458622354974096</v>
      </c>
      <c r="E138" s="1">
        <f t="shared" si="4"/>
        <v>0</v>
      </c>
      <c r="F138" s="3" t="str">
        <f t="shared" si="5"/>
        <v>Consumption</v>
      </c>
    </row>
    <row r="139" spans="1:7" x14ac:dyDescent="0.5">
      <c r="A139" t="s">
        <v>759</v>
      </c>
      <c r="B139" s="4" t="s">
        <v>978</v>
      </c>
      <c r="C139" t="s">
        <v>979</v>
      </c>
      <c r="D139" s="3">
        <v>3.23367715943006</v>
      </c>
      <c r="E139" s="1">
        <f t="shared" si="4"/>
        <v>0</v>
      </c>
      <c r="F139" s="3" t="str">
        <f t="shared" si="5"/>
        <v>Consumption</v>
      </c>
      <c r="G139" t="s">
        <v>1186</v>
      </c>
    </row>
    <row r="140" spans="1:7" x14ac:dyDescent="0.5">
      <c r="A140" t="s">
        <v>759</v>
      </c>
      <c r="B140" s="4" t="s">
        <v>980</v>
      </c>
      <c r="C140" t="s">
        <v>981</v>
      </c>
      <c r="D140" s="3">
        <v>9.3577627196204904</v>
      </c>
      <c r="E140" s="1">
        <f t="shared" si="4"/>
        <v>0</v>
      </c>
      <c r="F140" s="3" t="str">
        <f t="shared" si="5"/>
        <v>Consumption</v>
      </c>
      <c r="G140" t="s">
        <v>1186</v>
      </c>
    </row>
    <row r="141" spans="1:7" x14ac:dyDescent="0.5">
      <c r="A141" t="s">
        <v>759</v>
      </c>
      <c r="B141" s="4" t="s">
        <v>982</v>
      </c>
      <c r="C141" t="s">
        <v>983</v>
      </c>
      <c r="D141" s="3">
        <v>1.31391732087906</v>
      </c>
      <c r="E141" s="1">
        <f t="shared" si="4"/>
        <v>0</v>
      </c>
      <c r="F141" s="3" t="str">
        <f t="shared" si="5"/>
        <v>Consumption</v>
      </c>
      <c r="G141" t="s">
        <v>1186</v>
      </c>
    </row>
    <row r="142" spans="1:7" x14ac:dyDescent="0.5">
      <c r="A142" t="s">
        <v>759</v>
      </c>
      <c r="B142" s="4" t="s">
        <v>984</v>
      </c>
      <c r="C142" t="s">
        <v>985</v>
      </c>
      <c r="D142" s="3">
        <v>3.1238185752227698</v>
      </c>
      <c r="E142" s="1">
        <f t="shared" si="4"/>
        <v>0</v>
      </c>
      <c r="F142" s="3" t="str">
        <f t="shared" si="5"/>
        <v>Consumption</v>
      </c>
      <c r="G142" t="s">
        <v>1186</v>
      </c>
    </row>
    <row r="143" spans="1:7" x14ac:dyDescent="0.5">
      <c r="A143" t="s">
        <v>759</v>
      </c>
      <c r="B143" s="4" t="s">
        <v>986</v>
      </c>
      <c r="C143" t="s">
        <v>987</v>
      </c>
      <c r="D143" s="3">
        <v>2.84708553720324</v>
      </c>
      <c r="E143" s="1">
        <f t="shared" si="4"/>
        <v>0</v>
      </c>
      <c r="F143" s="3" t="str">
        <f t="shared" si="5"/>
        <v>Consumption</v>
      </c>
      <c r="G143" t="s">
        <v>1186</v>
      </c>
    </row>
    <row r="144" spans="1:7" x14ac:dyDescent="0.5">
      <c r="A144" t="s">
        <v>759</v>
      </c>
      <c r="B144" s="4" t="s">
        <v>988</v>
      </c>
      <c r="C144" t="s">
        <v>989</v>
      </c>
      <c r="D144" s="3">
        <v>7.1294855358470803</v>
      </c>
      <c r="E144" s="1">
        <f t="shared" si="4"/>
        <v>0</v>
      </c>
      <c r="F144" s="3" t="str">
        <f t="shared" si="5"/>
        <v>Consumption</v>
      </c>
      <c r="G144" t="s">
        <v>1186</v>
      </c>
    </row>
    <row r="145" spans="1:8" x14ac:dyDescent="0.5">
      <c r="A145" t="s">
        <v>759</v>
      </c>
      <c r="B145" s="4" t="s">
        <v>990</v>
      </c>
      <c r="C145" t="s">
        <v>991</v>
      </c>
      <c r="D145" s="3">
        <v>6.3944849102881296</v>
      </c>
      <c r="E145" s="1">
        <f t="shared" si="4"/>
        <v>0</v>
      </c>
      <c r="F145" s="3" t="str">
        <f t="shared" si="5"/>
        <v>Consumption</v>
      </c>
      <c r="G145" t="s">
        <v>1186</v>
      </c>
    </row>
    <row r="146" spans="1:8" x14ac:dyDescent="0.5">
      <c r="A146" t="s">
        <v>759</v>
      </c>
      <c r="B146" s="4" t="s">
        <v>992</v>
      </c>
      <c r="C146" t="s">
        <v>993</v>
      </c>
      <c r="D146" s="3">
        <v>1.0584157480796199</v>
      </c>
      <c r="E146" s="1">
        <f t="shared" si="4"/>
        <v>0</v>
      </c>
      <c r="F146" s="3" t="str">
        <f t="shared" si="5"/>
        <v>Consumption</v>
      </c>
      <c r="G146" t="s">
        <v>1186</v>
      </c>
    </row>
    <row r="147" spans="1:8" x14ac:dyDescent="0.5">
      <c r="A147" t="s">
        <v>759</v>
      </c>
      <c r="B147" s="4" t="s">
        <v>994</v>
      </c>
      <c r="C147" t="s">
        <v>995</v>
      </c>
      <c r="D147" s="3">
        <v>2.8530287263241196</v>
      </c>
      <c r="E147" s="1">
        <f t="shared" si="4"/>
        <v>0</v>
      </c>
      <c r="F147" s="3" t="str">
        <f t="shared" si="5"/>
        <v>Consumption</v>
      </c>
      <c r="G147" t="s">
        <v>1186</v>
      </c>
    </row>
    <row r="148" spans="1:8" x14ac:dyDescent="0.5">
      <c r="A148" t="s">
        <v>759</v>
      </c>
      <c r="B148" s="4" t="s">
        <v>996</v>
      </c>
      <c r="C148" t="s">
        <v>997</v>
      </c>
      <c r="D148" s="3">
        <v>1.06545380112598</v>
      </c>
      <c r="E148" s="1">
        <f t="shared" si="4"/>
        <v>0</v>
      </c>
      <c r="F148" s="3" t="str">
        <f t="shared" si="5"/>
        <v>Consumption</v>
      </c>
      <c r="G148" t="s">
        <v>1186</v>
      </c>
    </row>
    <row r="149" spans="1:8" x14ac:dyDescent="0.5">
      <c r="A149" t="s">
        <v>759</v>
      </c>
      <c r="B149" s="4" t="s">
        <v>998</v>
      </c>
      <c r="C149" t="s">
        <v>999</v>
      </c>
      <c r="D149" s="3">
        <v>42.798366083905101</v>
      </c>
      <c r="E149" s="1">
        <f t="shared" si="4"/>
        <v>0</v>
      </c>
      <c r="F149" s="3" t="str">
        <f t="shared" si="5"/>
        <v>Consumption</v>
      </c>
      <c r="G149" t="s">
        <v>1186</v>
      </c>
    </row>
    <row r="150" spans="1:8" x14ac:dyDescent="0.5">
      <c r="A150" t="s">
        <v>759</v>
      </c>
      <c r="B150" s="4">
        <v>122</v>
      </c>
      <c r="C150" t="s">
        <v>1000</v>
      </c>
      <c r="D150" s="3">
        <v>51.0831091398396</v>
      </c>
      <c r="E150" s="1">
        <f t="shared" si="4"/>
        <v>0</v>
      </c>
      <c r="F150" s="3" t="str">
        <f t="shared" si="5"/>
        <v>Consumption</v>
      </c>
    </row>
    <row r="151" spans="1:8" x14ac:dyDescent="0.5">
      <c r="A151" t="s">
        <v>759</v>
      </c>
      <c r="B151" s="4">
        <v>1221</v>
      </c>
      <c r="C151" t="s">
        <v>1001</v>
      </c>
      <c r="D151" s="3">
        <v>42.551607820183996</v>
      </c>
      <c r="E151" s="1">
        <f t="shared" si="4"/>
        <v>0</v>
      </c>
      <c r="F151" s="3" t="str">
        <f t="shared" si="5"/>
        <v>Consumption</v>
      </c>
      <c r="G151" t="s">
        <v>1130</v>
      </c>
      <c r="H151" t="s">
        <v>1132</v>
      </c>
    </row>
    <row r="152" spans="1:8" x14ac:dyDescent="0.5">
      <c r="A152" t="s">
        <v>759</v>
      </c>
      <c r="B152" s="4">
        <v>1222</v>
      </c>
      <c r="C152" t="s">
        <v>1002</v>
      </c>
      <c r="D152" s="3">
        <v>2.4901239939840001</v>
      </c>
      <c r="E152" s="1">
        <f t="shared" si="4"/>
        <v>0</v>
      </c>
      <c r="F152" s="3" t="str">
        <f t="shared" si="5"/>
        <v>Consumption</v>
      </c>
      <c r="G152" t="s">
        <v>1130</v>
      </c>
      <c r="H152" t="s">
        <v>1134</v>
      </c>
    </row>
    <row r="153" spans="1:8" x14ac:dyDescent="0.5">
      <c r="A153" t="s">
        <v>759</v>
      </c>
      <c r="B153" s="4">
        <v>1223</v>
      </c>
      <c r="C153" t="s">
        <v>1003</v>
      </c>
      <c r="D153" s="3">
        <v>6.7344413900000011E-2</v>
      </c>
      <c r="E153" s="1">
        <f t="shared" si="4"/>
        <v>0</v>
      </c>
      <c r="F153" s="3" t="str">
        <f t="shared" si="5"/>
        <v>Consumption</v>
      </c>
      <c r="G153" t="s">
        <v>1130</v>
      </c>
      <c r="H153" t="s">
        <v>1178</v>
      </c>
    </row>
    <row r="154" spans="1:8" x14ac:dyDescent="0.5">
      <c r="A154" t="s">
        <v>759</v>
      </c>
      <c r="B154" s="4">
        <v>1224</v>
      </c>
      <c r="C154" t="s">
        <v>1004</v>
      </c>
      <c r="D154" s="3">
        <v>1.9985749913199999</v>
      </c>
      <c r="E154" s="1">
        <f t="shared" si="4"/>
        <v>0</v>
      </c>
      <c r="F154" s="3" t="str">
        <f t="shared" si="5"/>
        <v>Consumption</v>
      </c>
      <c r="G154" t="s">
        <v>1130</v>
      </c>
      <c r="H154" t="s">
        <v>1180</v>
      </c>
    </row>
    <row r="155" spans="1:8" x14ac:dyDescent="0.5">
      <c r="A155" t="s">
        <v>759</v>
      </c>
      <c r="B155" s="4">
        <v>1225</v>
      </c>
      <c r="C155" t="s">
        <v>1005</v>
      </c>
      <c r="D155" s="3">
        <v>0.79496797881149994</v>
      </c>
      <c r="E155" s="1">
        <f t="shared" si="4"/>
        <v>0</v>
      </c>
      <c r="F155" s="3" t="str">
        <f t="shared" si="5"/>
        <v>Consumption</v>
      </c>
      <c r="G155" t="s">
        <v>1130</v>
      </c>
      <c r="H155" t="s">
        <v>1179</v>
      </c>
    </row>
    <row r="156" spans="1:8" x14ac:dyDescent="0.5">
      <c r="A156" t="s">
        <v>759</v>
      </c>
      <c r="B156" s="4">
        <v>1226</v>
      </c>
      <c r="C156" t="s">
        <v>1006</v>
      </c>
      <c r="D156" s="3">
        <v>3.1804899416399999</v>
      </c>
      <c r="E156" s="1">
        <f t="shared" si="4"/>
        <v>0</v>
      </c>
      <c r="F156" s="3" t="str">
        <f t="shared" si="5"/>
        <v>Consumption</v>
      </c>
      <c r="G156" t="s">
        <v>1130</v>
      </c>
      <c r="H156" t="s">
        <v>1185</v>
      </c>
    </row>
    <row r="157" spans="1:8" x14ac:dyDescent="0.5">
      <c r="A157" t="s">
        <v>759</v>
      </c>
      <c r="B157" s="4">
        <v>123</v>
      </c>
      <c r="C157" t="s">
        <v>1007</v>
      </c>
      <c r="D157" s="3">
        <v>133.85571557768</v>
      </c>
      <c r="E157" s="1">
        <f t="shared" si="4"/>
        <v>0</v>
      </c>
      <c r="F157" s="3" t="str">
        <f t="shared" si="5"/>
        <v>Consumption</v>
      </c>
      <c r="G157" t="s">
        <v>1179</v>
      </c>
    </row>
    <row r="158" spans="1:8" x14ac:dyDescent="0.5">
      <c r="A158" t="s">
        <v>759</v>
      </c>
      <c r="B158" s="4">
        <v>1231</v>
      </c>
      <c r="C158" t="s">
        <v>1008</v>
      </c>
      <c r="D158" s="3">
        <v>80.502230587323794</v>
      </c>
      <c r="E158" s="1">
        <f t="shared" si="4"/>
        <v>0</v>
      </c>
      <c r="F158" s="3" t="str">
        <f t="shared" si="5"/>
        <v>Consumption</v>
      </c>
      <c r="G158" t="s">
        <v>1182</v>
      </c>
    </row>
    <row r="159" spans="1:8" x14ac:dyDescent="0.5">
      <c r="A159" t="s">
        <v>759</v>
      </c>
      <c r="B159" s="4">
        <v>1232</v>
      </c>
      <c r="C159" t="s">
        <v>1009</v>
      </c>
      <c r="D159" s="3">
        <v>8.6282478845505697</v>
      </c>
      <c r="E159" s="1">
        <f t="shared" si="4"/>
        <v>0</v>
      </c>
      <c r="F159" s="3" t="str">
        <f t="shared" si="5"/>
        <v>Consumption</v>
      </c>
      <c r="G159" t="s">
        <v>1425</v>
      </c>
    </row>
    <row r="160" spans="1:8" x14ac:dyDescent="0.5">
      <c r="A160" t="s">
        <v>759</v>
      </c>
      <c r="B160" s="4" t="s">
        <v>1010</v>
      </c>
      <c r="C160" t="s">
        <v>1011</v>
      </c>
      <c r="D160" s="3">
        <v>0.31932734637476301</v>
      </c>
      <c r="E160" s="1">
        <f t="shared" si="4"/>
        <v>0</v>
      </c>
      <c r="F160" s="3">
        <f t="shared" si="5"/>
        <v>0</v>
      </c>
    </row>
    <row r="161" spans="1:7" x14ac:dyDescent="0.5">
      <c r="A161" t="s">
        <v>759</v>
      </c>
      <c r="B161" s="4">
        <v>1234</v>
      </c>
      <c r="C161" t="s">
        <v>1012</v>
      </c>
      <c r="D161" s="3">
        <v>14.6372297867893</v>
      </c>
      <c r="E161" s="1">
        <f t="shared" si="4"/>
        <v>0</v>
      </c>
      <c r="F161" s="3" t="str">
        <f t="shared" si="5"/>
        <v>Consumption</v>
      </c>
      <c r="G161" t="s">
        <v>1179</v>
      </c>
    </row>
    <row r="162" spans="1:7" x14ac:dyDescent="0.5">
      <c r="A162" t="s">
        <v>759</v>
      </c>
      <c r="B162" s="4">
        <v>1235</v>
      </c>
      <c r="C162" t="s">
        <v>1013</v>
      </c>
      <c r="D162" s="3">
        <v>30.088007319017002</v>
      </c>
      <c r="E162" s="1">
        <f t="shared" si="4"/>
        <v>0</v>
      </c>
      <c r="F162" s="3" t="str">
        <f t="shared" si="5"/>
        <v>Consumption</v>
      </c>
      <c r="G162" t="s">
        <v>1181</v>
      </c>
    </row>
    <row r="163" spans="1:7" x14ac:dyDescent="0.5">
      <c r="A163" t="s">
        <v>759</v>
      </c>
      <c r="B163" s="4">
        <v>131</v>
      </c>
      <c r="C163" t="s">
        <v>1014</v>
      </c>
      <c r="D163" s="3" t="s">
        <v>1174</v>
      </c>
      <c r="E163" s="1">
        <f t="shared" si="4"/>
        <v>0</v>
      </c>
      <c r="F163" s="3">
        <f t="shared" si="5"/>
        <v>0</v>
      </c>
    </row>
    <row r="164" spans="1:7" x14ac:dyDescent="0.5">
      <c r="A164" t="s">
        <v>759</v>
      </c>
      <c r="B164" s="4">
        <v>133</v>
      </c>
      <c r="C164" t="s">
        <v>1015</v>
      </c>
      <c r="D164" s="3" t="s">
        <v>1174</v>
      </c>
      <c r="E164" s="1">
        <f t="shared" si="4"/>
        <v>0</v>
      </c>
      <c r="F164" s="3">
        <f t="shared" si="5"/>
        <v>0</v>
      </c>
    </row>
    <row r="165" spans="1:7" x14ac:dyDescent="0.5">
      <c r="A165" t="s">
        <v>759</v>
      </c>
      <c r="B165" s="4">
        <v>1331</v>
      </c>
      <c r="C165" t="s">
        <v>1016</v>
      </c>
      <c r="D165" s="3" t="s">
        <v>1174</v>
      </c>
      <c r="E165" s="1">
        <f t="shared" si="4"/>
        <v>0</v>
      </c>
      <c r="F165" s="3">
        <f t="shared" si="5"/>
        <v>0</v>
      </c>
    </row>
    <row r="166" spans="1:7" x14ac:dyDescent="0.5">
      <c r="A166" t="s">
        <v>759</v>
      </c>
      <c r="B166" s="4">
        <v>13311</v>
      </c>
      <c r="C166" t="s">
        <v>1017</v>
      </c>
      <c r="D166" s="3" t="s">
        <v>1174</v>
      </c>
      <c r="E166" s="1">
        <f t="shared" si="4"/>
        <v>0</v>
      </c>
      <c r="F166" s="3">
        <f t="shared" si="5"/>
        <v>0</v>
      </c>
    </row>
    <row r="167" spans="1:7" x14ac:dyDescent="0.5">
      <c r="A167" t="s">
        <v>759</v>
      </c>
      <c r="B167" s="4">
        <v>13312</v>
      </c>
      <c r="C167" t="s">
        <v>1018</v>
      </c>
      <c r="D167" s="3" t="s">
        <v>1174</v>
      </c>
      <c r="E167" s="1">
        <f t="shared" si="4"/>
        <v>0</v>
      </c>
      <c r="F167" s="3">
        <f t="shared" si="5"/>
        <v>0</v>
      </c>
    </row>
    <row r="168" spans="1:7" x14ac:dyDescent="0.5">
      <c r="A168" t="s">
        <v>759</v>
      </c>
      <c r="B168" s="4">
        <v>1332</v>
      </c>
      <c r="C168" t="s">
        <v>1019</v>
      </c>
      <c r="D168" s="3" t="s">
        <v>1174</v>
      </c>
      <c r="E168" s="1">
        <f t="shared" si="4"/>
        <v>0</v>
      </c>
      <c r="F168" s="3">
        <f t="shared" si="5"/>
        <v>0</v>
      </c>
    </row>
    <row r="169" spans="1:7" x14ac:dyDescent="0.5">
      <c r="A169" t="s">
        <v>759</v>
      </c>
      <c r="B169" s="4">
        <v>13321</v>
      </c>
      <c r="C169" t="s">
        <v>1020</v>
      </c>
      <c r="D169" s="3" t="s">
        <v>1174</v>
      </c>
      <c r="E169" s="1">
        <f t="shared" si="4"/>
        <v>0</v>
      </c>
      <c r="F169" s="3">
        <f t="shared" si="5"/>
        <v>0</v>
      </c>
    </row>
    <row r="170" spans="1:7" x14ac:dyDescent="0.5">
      <c r="A170" t="s">
        <v>759</v>
      </c>
      <c r="B170" s="4">
        <v>13322</v>
      </c>
      <c r="C170" t="s">
        <v>1021</v>
      </c>
      <c r="D170" s="3" t="s">
        <v>1174</v>
      </c>
      <c r="E170" s="1">
        <f t="shared" si="4"/>
        <v>0</v>
      </c>
      <c r="F170" s="3">
        <f t="shared" si="5"/>
        <v>0</v>
      </c>
    </row>
    <row r="171" spans="1:7" x14ac:dyDescent="0.5">
      <c r="A171" t="s">
        <v>759</v>
      </c>
      <c r="B171" s="4">
        <v>1333</v>
      </c>
      <c r="C171" t="s">
        <v>1022</v>
      </c>
      <c r="D171" s="3" t="s">
        <v>1174</v>
      </c>
      <c r="E171" s="1">
        <f t="shared" si="4"/>
        <v>0</v>
      </c>
      <c r="F171" s="3">
        <f t="shared" si="5"/>
        <v>0</v>
      </c>
    </row>
    <row r="172" spans="1:7" x14ac:dyDescent="0.5">
      <c r="A172" t="s">
        <v>759</v>
      </c>
      <c r="B172" s="4">
        <v>13331</v>
      </c>
      <c r="C172" t="s">
        <v>1023</v>
      </c>
      <c r="D172" s="3" t="s">
        <v>1174</v>
      </c>
      <c r="E172" s="1">
        <f t="shared" si="4"/>
        <v>0</v>
      </c>
      <c r="F172" s="3">
        <f t="shared" si="5"/>
        <v>0</v>
      </c>
    </row>
    <row r="173" spans="1:7" x14ac:dyDescent="0.5">
      <c r="A173" t="s">
        <v>759</v>
      </c>
      <c r="B173" s="4">
        <v>13332</v>
      </c>
      <c r="C173" t="s">
        <v>1024</v>
      </c>
      <c r="D173" s="3" t="s">
        <v>1174</v>
      </c>
      <c r="E173" s="1">
        <f t="shared" si="4"/>
        <v>0</v>
      </c>
      <c r="F173" s="3">
        <f t="shared" si="5"/>
        <v>0</v>
      </c>
    </row>
    <row r="174" spans="1:7" x14ac:dyDescent="0.5">
      <c r="A174" t="s">
        <v>759</v>
      </c>
      <c r="B174" s="4">
        <v>1334</v>
      </c>
      <c r="C174" t="s">
        <v>1025</v>
      </c>
      <c r="D174" s="3" t="s">
        <v>1174</v>
      </c>
      <c r="E174" s="1">
        <f t="shared" si="4"/>
        <v>0</v>
      </c>
      <c r="F174" s="3">
        <f t="shared" si="5"/>
        <v>0</v>
      </c>
    </row>
    <row r="175" spans="1:7" x14ac:dyDescent="0.5">
      <c r="A175" t="s">
        <v>759</v>
      </c>
      <c r="B175" s="4">
        <v>13341</v>
      </c>
      <c r="C175" t="s">
        <v>1026</v>
      </c>
      <c r="D175" s="3" t="s">
        <v>1174</v>
      </c>
      <c r="E175" s="1">
        <f t="shared" si="4"/>
        <v>0</v>
      </c>
      <c r="F175" s="3">
        <f t="shared" si="5"/>
        <v>0</v>
      </c>
    </row>
    <row r="176" spans="1:7" x14ac:dyDescent="0.5">
      <c r="A176" t="s">
        <v>759</v>
      </c>
      <c r="B176" s="4">
        <v>13342</v>
      </c>
      <c r="C176" t="s">
        <v>1027</v>
      </c>
      <c r="D176" s="3" t="s">
        <v>1174</v>
      </c>
      <c r="E176" s="1">
        <f t="shared" si="4"/>
        <v>0</v>
      </c>
      <c r="F176" s="3">
        <f t="shared" si="5"/>
        <v>0</v>
      </c>
    </row>
    <row r="177" spans="1:6" x14ac:dyDescent="0.5">
      <c r="A177" t="s">
        <v>759</v>
      </c>
      <c r="B177" s="4" t="s">
        <v>1028</v>
      </c>
      <c r="C177" t="s">
        <v>1029</v>
      </c>
      <c r="D177" s="3" t="s">
        <v>1174</v>
      </c>
      <c r="E177" s="1">
        <f t="shared" si="4"/>
        <v>0</v>
      </c>
      <c r="F177" s="3">
        <f t="shared" si="5"/>
        <v>0</v>
      </c>
    </row>
    <row r="178" spans="1:6" x14ac:dyDescent="0.5">
      <c r="A178" t="s">
        <v>759</v>
      </c>
      <c r="B178" s="4">
        <v>1335</v>
      </c>
      <c r="C178" t="s">
        <v>1030</v>
      </c>
      <c r="D178" s="3" t="s">
        <v>1174</v>
      </c>
      <c r="E178" s="1">
        <f t="shared" si="4"/>
        <v>0</v>
      </c>
      <c r="F178" s="3">
        <f t="shared" si="5"/>
        <v>0</v>
      </c>
    </row>
    <row r="179" spans="1:6" x14ac:dyDescent="0.5">
      <c r="A179" t="s">
        <v>759</v>
      </c>
      <c r="B179" s="4">
        <v>13351</v>
      </c>
      <c r="C179" t="s">
        <v>1031</v>
      </c>
      <c r="D179" s="3" t="s">
        <v>1174</v>
      </c>
      <c r="E179" s="1">
        <f t="shared" si="4"/>
        <v>0</v>
      </c>
      <c r="F179" s="3">
        <f t="shared" si="5"/>
        <v>0</v>
      </c>
    </row>
    <row r="180" spans="1:6" x14ac:dyDescent="0.5">
      <c r="A180" t="s">
        <v>759</v>
      </c>
      <c r="B180" s="4">
        <v>13352</v>
      </c>
      <c r="C180" t="s">
        <v>1032</v>
      </c>
      <c r="D180" s="3" t="s">
        <v>1174</v>
      </c>
      <c r="E180" s="1">
        <f t="shared" si="4"/>
        <v>0</v>
      </c>
      <c r="F180" s="3">
        <f t="shared" si="5"/>
        <v>0</v>
      </c>
    </row>
    <row r="181" spans="1:6" x14ac:dyDescent="0.5">
      <c r="A181" t="s">
        <v>759</v>
      </c>
      <c r="B181" s="4">
        <v>1336</v>
      </c>
      <c r="C181" t="s">
        <v>1033</v>
      </c>
      <c r="D181" s="3" t="s">
        <v>1174</v>
      </c>
      <c r="E181" s="1">
        <f t="shared" si="4"/>
        <v>0</v>
      </c>
      <c r="F181" s="3">
        <f t="shared" si="5"/>
        <v>0</v>
      </c>
    </row>
    <row r="182" spans="1:6" x14ac:dyDescent="0.5">
      <c r="A182" t="s">
        <v>759</v>
      </c>
      <c r="B182" s="4">
        <v>13361</v>
      </c>
      <c r="C182" t="s">
        <v>1034</v>
      </c>
      <c r="D182" s="3" t="s">
        <v>1174</v>
      </c>
      <c r="E182" s="1">
        <f t="shared" si="4"/>
        <v>0</v>
      </c>
      <c r="F182" s="3">
        <f t="shared" si="5"/>
        <v>0</v>
      </c>
    </row>
    <row r="183" spans="1:6" x14ac:dyDescent="0.5">
      <c r="A183" t="s">
        <v>759</v>
      </c>
      <c r="B183" s="4">
        <v>13362</v>
      </c>
      <c r="C183" t="s">
        <v>1035</v>
      </c>
      <c r="D183" s="3" t="s">
        <v>1174</v>
      </c>
      <c r="E183" s="1">
        <f t="shared" si="4"/>
        <v>0</v>
      </c>
      <c r="F183" s="3">
        <f t="shared" si="5"/>
        <v>0</v>
      </c>
    </row>
    <row r="184" spans="1:6" x14ac:dyDescent="0.5">
      <c r="A184" t="s">
        <v>759</v>
      </c>
      <c r="B184" s="4">
        <v>1337</v>
      </c>
      <c r="C184" t="s">
        <v>1036</v>
      </c>
      <c r="D184" s="3" t="s">
        <v>1174</v>
      </c>
      <c r="E184" s="1">
        <f t="shared" si="4"/>
        <v>0</v>
      </c>
      <c r="F184" s="3">
        <f t="shared" si="5"/>
        <v>0</v>
      </c>
    </row>
    <row r="185" spans="1:6" x14ac:dyDescent="0.5">
      <c r="A185" t="s">
        <v>759</v>
      </c>
      <c r="B185" s="4">
        <v>13371</v>
      </c>
      <c r="C185" t="s">
        <v>1037</v>
      </c>
      <c r="D185" s="3" t="s">
        <v>1174</v>
      </c>
      <c r="E185" s="1">
        <f t="shared" si="4"/>
        <v>0</v>
      </c>
      <c r="F185" s="3">
        <f t="shared" si="5"/>
        <v>0</v>
      </c>
    </row>
    <row r="186" spans="1:6" x14ac:dyDescent="0.5">
      <c r="A186" t="s">
        <v>759</v>
      </c>
      <c r="B186" s="4">
        <v>13372</v>
      </c>
      <c r="C186" t="s">
        <v>1038</v>
      </c>
      <c r="D186" s="3" t="s">
        <v>1174</v>
      </c>
      <c r="E186" s="1">
        <f t="shared" si="4"/>
        <v>0</v>
      </c>
      <c r="F186" s="3">
        <f t="shared" si="5"/>
        <v>0</v>
      </c>
    </row>
    <row r="187" spans="1:6" x14ac:dyDescent="0.5">
      <c r="A187" t="s">
        <v>759</v>
      </c>
      <c r="B187" s="4">
        <v>1339</v>
      </c>
      <c r="C187" t="s">
        <v>1039</v>
      </c>
      <c r="D187" s="3" t="s">
        <v>1174</v>
      </c>
      <c r="E187" s="1">
        <f t="shared" si="4"/>
        <v>0</v>
      </c>
      <c r="F187" s="3" t="str">
        <f t="shared" si="5"/>
        <v>Electricity</v>
      </c>
    </row>
    <row r="188" spans="1:6" x14ac:dyDescent="0.5">
      <c r="A188" t="s">
        <v>759</v>
      </c>
      <c r="B188" s="4">
        <v>13391</v>
      </c>
      <c r="C188" t="s">
        <v>1040</v>
      </c>
      <c r="D188" s="3" t="s">
        <v>1174</v>
      </c>
      <c r="E188" s="1">
        <f t="shared" si="4"/>
        <v>0</v>
      </c>
      <c r="F188" s="3" t="str">
        <f t="shared" si="5"/>
        <v>Electricity</v>
      </c>
    </row>
    <row r="189" spans="1:6" x14ac:dyDescent="0.5">
      <c r="A189" t="s">
        <v>759</v>
      </c>
      <c r="B189" s="4">
        <v>13392</v>
      </c>
      <c r="C189" t="s">
        <v>1041</v>
      </c>
      <c r="D189" s="3" t="s">
        <v>1174</v>
      </c>
      <c r="E189" s="1">
        <f t="shared" si="4"/>
        <v>0</v>
      </c>
      <c r="F189" s="3" t="str">
        <f t="shared" si="5"/>
        <v>Electricity</v>
      </c>
    </row>
    <row r="190" spans="1:6" x14ac:dyDescent="0.5">
      <c r="A190" t="s">
        <v>759</v>
      </c>
      <c r="B190" s="4" t="s">
        <v>1042</v>
      </c>
      <c r="C190" t="s">
        <v>1043</v>
      </c>
      <c r="D190" s="3" t="s">
        <v>1174</v>
      </c>
      <c r="E190" s="1">
        <f t="shared" si="4"/>
        <v>0</v>
      </c>
      <c r="F190" s="3" t="str">
        <f t="shared" si="5"/>
        <v>Electricity</v>
      </c>
    </row>
    <row r="191" spans="1:6" x14ac:dyDescent="0.5">
      <c r="A191" t="s">
        <v>759</v>
      </c>
      <c r="B191" s="4" t="s">
        <v>1044</v>
      </c>
      <c r="C191" t="s">
        <v>1045</v>
      </c>
      <c r="D191" s="3" t="s">
        <v>1174</v>
      </c>
      <c r="E191" s="1">
        <f t="shared" si="4"/>
        <v>0</v>
      </c>
      <c r="F191" s="3" t="str">
        <f t="shared" si="5"/>
        <v>Electricity</v>
      </c>
    </row>
    <row r="192" spans="1:6" x14ac:dyDescent="0.5">
      <c r="A192" t="s">
        <v>759</v>
      </c>
      <c r="B192" s="4" t="s">
        <v>1046</v>
      </c>
      <c r="C192" t="s">
        <v>1047</v>
      </c>
      <c r="D192" s="3" t="s">
        <v>1174</v>
      </c>
      <c r="E192" s="1">
        <f t="shared" si="4"/>
        <v>0</v>
      </c>
      <c r="F192" s="3" t="str">
        <f t="shared" si="5"/>
        <v>Electricity</v>
      </c>
    </row>
    <row r="193" spans="1:6" x14ac:dyDescent="0.5">
      <c r="A193" t="s">
        <v>759</v>
      </c>
      <c r="B193" s="4" t="s">
        <v>1048</v>
      </c>
      <c r="C193" t="s">
        <v>1049</v>
      </c>
      <c r="D193" s="3" t="s">
        <v>1174</v>
      </c>
      <c r="E193" s="1">
        <f t="shared" si="4"/>
        <v>0</v>
      </c>
      <c r="F193" s="3" t="str">
        <f t="shared" si="5"/>
        <v>Electricity</v>
      </c>
    </row>
    <row r="194" spans="1:6" x14ac:dyDescent="0.5">
      <c r="A194" t="s">
        <v>759</v>
      </c>
      <c r="B194" s="4" t="s">
        <v>1050</v>
      </c>
      <c r="C194" t="s">
        <v>1051</v>
      </c>
      <c r="D194" s="3" t="s">
        <v>1174</v>
      </c>
      <c r="E194" s="1">
        <f t="shared" si="4"/>
        <v>0</v>
      </c>
      <c r="F194" s="3" t="str">
        <f t="shared" si="5"/>
        <v>Electricity</v>
      </c>
    </row>
    <row r="195" spans="1:6" x14ac:dyDescent="0.5">
      <c r="A195" t="s">
        <v>759</v>
      </c>
      <c r="B195" s="4" t="s">
        <v>1052</v>
      </c>
      <c r="C195" t="s">
        <v>1053</v>
      </c>
      <c r="D195" s="3" t="s">
        <v>1174</v>
      </c>
      <c r="E195" s="1">
        <f t="shared" ref="E195:E258" si="6">IF(B195=LEFT(B196,LEN(B195)),1,0)</f>
        <v>0</v>
      </c>
      <c r="F195" s="3" t="str">
        <f t="shared" ref="F195:F210" si="7">VLOOKUP(LEFT(C195,3),$L$2:$M$37,2,FALSE)</f>
        <v>Electricity</v>
      </c>
    </row>
    <row r="196" spans="1:6" x14ac:dyDescent="0.5">
      <c r="A196" t="s">
        <v>759</v>
      </c>
      <c r="B196" s="4">
        <v>15</v>
      </c>
      <c r="C196" t="s">
        <v>1054</v>
      </c>
      <c r="D196" s="3" t="s">
        <v>1174</v>
      </c>
      <c r="E196" s="1">
        <f t="shared" si="6"/>
        <v>0</v>
      </c>
      <c r="F196" s="3">
        <f t="shared" si="7"/>
        <v>0</v>
      </c>
    </row>
    <row r="197" spans="1:6" x14ac:dyDescent="0.5">
      <c r="A197" t="s">
        <v>759</v>
      </c>
      <c r="B197" s="4">
        <v>151</v>
      </c>
      <c r="C197" t="s">
        <v>1055</v>
      </c>
      <c r="D197" s="3" t="s">
        <v>1174</v>
      </c>
      <c r="E197" s="1">
        <f t="shared" si="6"/>
        <v>0</v>
      </c>
      <c r="F197" s="3">
        <f t="shared" si="7"/>
        <v>0</v>
      </c>
    </row>
    <row r="198" spans="1:6" x14ac:dyDescent="0.5">
      <c r="A198" t="s">
        <v>759</v>
      </c>
      <c r="B198" s="4">
        <v>1511</v>
      </c>
      <c r="C198" t="s">
        <v>1056</v>
      </c>
      <c r="D198" s="3" t="s">
        <v>1174</v>
      </c>
      <c r="E198" s="1">
        <f t="shared" si="6"/>
        <v>0</v>
      </c>
      <c r="F198" s="3">
        <f t="shared" si="7"/>
        <v>0</v>
      </c>
    </row>
    <row r="199" spans="1:6" x14ac:dyDescent="0.5">
      <c r="A199" t="s">
        <v>759</v>
      </c>
      <c r="B199" s="4">
        <v>152</v>
      </c>
      <c r="C199" t="s">
        <v>1057</v>
      </c>
      <c r="D199" s="3" t="s">
        <v>1174</v>
      </c>
      <c r="E199" s="1">
        <f t="shared" si="6"/>
        <v>0</v>
      </c>
      <c r="F199" s="3">
        <f t="shared" si="7"/>
        <v>0</v>
      </c>
    </row>
    <row r="200" spans="1:6" x14ac:dyDescent="0.5">
      <c r="A200" t="s">
        <v>759</v>
      </c>
      <c r="B200" s="4">
        <v>161</v>
      </c>
      <c r="C200" t="s">
        <v>1058</v>
      </c>
      <c r="D200" s="3">
        <v>10370.226712271</v>
      </c>
      <c r="E200" s="1">
        <f t="shared" si="6"/>
        <v>0</v>
      </c>
      <c r="F200" s="3" t="str">
        <f t="shared" si="7"/>
        <v>reserves</v>
      </c>
    </row>
    <row r="201" spans="1:6" x14ac:dyDescent="0.5">
      <c r="A201" t="s">
        <v>759</v>
      </c>
      <c r="B201" s="4">
        <v>162</v>
      </c>
      <c r="C201" t="s">
        <v>1059</v>
      </c>
      <c r="D201" s="3" t="s">
        <v>1174</v>
      </c>
      <c r="E201" s="1">
        <f t="shared" si="6"/>
        <v>0</v>
      </c>
      <c r="F201" s="3" t="str">
        <f t="shared" si="7"/>
        <v>reserves</v>
      </c>
    </row>
    <row r="202" spans="1:6" x14ac:dyDescent="0.5">
      <c r="A202" t="s">
        <v>759</v>
      </c>
      <c r="B202" s="4">
        <v>1621</v>
      </c>
      <c r="C202" t="s">
        <v>1060</v>
      </c>
      <c r="D202" s="3" t="s">
        <v>1174</v>
      </c>
      <c r="E202" s="1">
        <f t="shared" si="6"/>
        <v>0</v>
      </c>
      <c r="F202" s="3" t="str">
        <f t="shared" si="7"/>
        <v>reserves</v>
      </c>
    </row>
    <row r="203" spans="1:6" x14ac:dyDescent="0.5">
      <c r="A203" t="s">
        <v>759</v>
      </c>
      <c r="B203" s="4">
        <v>1622</v>
      </c>
      <c r="C203" t="s">
        <v>1061</v>
      </c>
      <c r="D203" s="3" t="s">
        <v>1174</v>
      </c>
      <c r="E203" s="1">
        <f t="shared" si="6"/>
        <v>0</v>
      </c>
      <c r="F203" s="3" t="str">
        <f t="shared" si="7"/>
        <v>reserves</v>
      </c>
    </row>
    <row r="204" spans="1:6" x14ac:dyDescent="0.5">
      <c r="A204" t="s">
        <v>759</v>
      </c>
      <c r="B204" s="4">
        <v>163</v>
      </c>
      <c r="C204" t="s">
        <v>1062</v>
      </c>
      <c r="D204" s="3" t="s">
        <v>1174</v>
      </c>
      <c r="E204" s="1">
        <f t="shared" si="6"/>
        <v>0</v>
      </c>
      <c r="F204" s="3">
        <f t="shared" si="7"/>
        <v>0</v>
      </c>
    </row>
    <row r="205" spans="1:6" x14ac:dyDescent="0.5">
      <c r="A205" t="s">
        <v>759</v>
      </c>
      <c r="B205" s="4">
        <v>17</v>
      </c>
      <c r="C205" t="s">
        <v>1063</v>
      </c>
      <c r="D205" s="3" t="s">
        <v>1174</v>
      </c>
      <c r="E205" s="1">
        <f t="shared" si="6"/>
        <v>0</v>
      </c>
      <c r="F205" s="3">
        <f t="shared" si="7"/>
        <v>0</v>
      </c>
    </row>
    <row r="206" spans="1:6" x14ac:dyDescent="0.5">
      <c r="A206" t="s">
        <v>759</v>
      </c>
      <c r="B206" s="4">
        <v>181</v>
      </c>
      <c r="C206" t="s">
        <v>1064</v>
      </c>
      <c r="D206" s="3" t="s">
        <v>1174</v>
      </c>
      <c r="E206" s="1">
        <f t="shared" si="6"/>
        <v>0</v>
      </c>
      <c r="F206" s="3" t="str">
        <f t="shared" si="7"/>
        <v>reserves</v>
      </c>
    </row>
    <row r="207" spans="1:6" x14ac:dyDescent="0.5">
      <c r="A207" t="s">
        <v>759</v>
      </c>
      <c r="B207" s="4">
        <v>182</v>
      </c>
      <c r="C207" t="s">
        <v>1065</v>
      </c>
      <c r="D207" s="3" t="s">
        <v>1174</v>
      </c>
      <c r="E207" s="1">
        <f t="shared" si="6"/>
        <v>0</v>
      </c>
      <c r="F207" s="3" t="str">
        <f t="shared" si="7"/>
        <v>reserves</v>
      </c>
    </row>
    <row r="208" spans="1:6" x14ac:dyDescent="0.5">
      <c r="A208" t="s">
        <v>759</v>
      </c>
      <c r="B208" s="4">
        <v>19</v>
      </c>
      <c r="C208" t="s">
        <v>1066</v>
      </c>
      <c r="D208" s="3">
        <v>108.32140368521</v>
      </c>
      <c r="E208" s="1">
        <f t="shared" si="6"/>
        <v>0</v>
      </c>
      <c r="F208" s="3">
        <f t="shared" si="7"/>
        <v>0</v>
      </c>
    </row>
    <row r="209" spans="1:7" x14ac:dyDescent="0.5">
      <c r="A209" t="s">
        <v>759</v>
      </c>
      <c r="B209" s="4">
        <v>21</v>
      </c>
      <c r="C209" t="s">
        <v>1067</v>
      </c>
      <c r="D209" s="3">
        <v>1.5468207569999999</v>
      </c>
      <c r="E209" s="1">
        <f t="shared" si="6"/>
        <v>0</v>
      </c>
      <c r="F209" s="3">
        <f t="shared" si="7"/>
        <v>0</v>
      </c>
    </row>
    <row r="210" spans="1:7" x14ac:dyDescent="0.5">
      <c r="A210" t="s">
        <v>759</v>
      </c>
      <c r="B210" s="4">
        <v>22</v>
      </c>
      <c r="C210" t="s">
        <v>1068</v>
      </c>
      <c r="D210" s="3">
        <v>4.7260009097980005</v>
      </c>
      <c r="E210" s="1">
        <f t="shared" si="6"/>
        <v>0</v>
      </c>
      <c r="F210" s="3">
        <f t="shared" si="7"/>
        <v>0</v>
      </c>
    </row>
    <row r="211" spans="1:7" x14ac:dyDescent="0.5">
      <c r="A211" t="s">
        <v>759</v>
      </c>
      <c r="B211" s="4" t="s">
        <v>1069</v>
      </c>
      <c r="C211" t="s">
        <v>1070</v>
      </c>
      <c r="D211" s="3" t="s">
        <v>1174</v>
      </c>
      <c r="E211" s="1">
        <f t="shared" si="6"/>
        <v>0</v>
      </c>
      <c r="F211" s="3"/>
    </row>
    <row r="212" spans="1:7" x14ac:dyDescent="0.5">
      <c r="A212" t="s">
        <v>759</v>
      </c>
      <c r="B212" s="4" t="s">
        <v>1071</v>
      </c>
      <c r="C212" t="s">
        <v>911</v>
      </c>
      <c r="D212" s="3" t="s">
        <v>1174</v>
      </c>
      <c r="E212" s="1">
        <f t="shared" si="6"/>
        <v>0</v>
      </c>
      <c r="F212" s="3"/>
      <c r="G212" t="s">
        <v>911</v>
      </c>
    </row>
    <row r="213" spans="1:7" x14ac:dyDescent="0.5">
      <c r="A213" t="s">
        <v>759</v>
      </c>
      <c r="B213" s="4" t="s">
        <v>1072</v>
      </c>
      <c r="C213" t="s">
        <v>912</v>
      </c>
      <c r="D213" s="3" t="s">
        <v>1174</v>
      </c>
      <c r="E213" s="1">
        <f t="shared" si="6"/>
        <v>0</v>
      </c>
      <c r="F213" s="3"/>
      <c r="G213" t="s">
        <v>912</v>
      </c>
    </row>
    <row r="214" spans="1:7" x14ac:dyDescent="0.5">
      <c r="A214" t="s">
        <v>759</v>
      </c>
      <c r="B214" s="4" t="s">
        <v>1073</v>
      </c>
      <c r="C214" t="s">
        <v>913</v>
      </c>
      <c r="D214" s="3" t="s">
        <v>1174</v>
      </c>
      <c r="E214" s="1">
        <f t="shared" si="6"/>
        <v>0</v>
      </c>
      <c r="F214" s="3"/>
      <c r="G214" t="s">
        <v>1183</v>
      </c>
    </row>
    <row r="215" spans="1:7" x14ac:dyDescent="0.5">
      <c r="A215" t="s">
        <v>759</v>
      </c>
      <c r="B215" s="4" t="s">
        <v>1074</v>
      </c>
      <c r="C215" t="s">
        <v>914</v>
      </c>
      <c r="D215" s="3" t="s">
        <v>1174</v>
      </c>
      <c r="E215" s="1">
        <f t="shared" si="6"/>
        <v>0</v>
      </c>
      <c r="F215" s="3"/>
      <c r="G215" t="s">
        <v>1184</v>
      </c>
    </row>
    <row r="216" spans="1:7" x14ac:dyDescent="0.5">
      <c r="A216" t="s">
        <v>759</v>
      </c>
      <c r="B216" s="4" t="s">
        <v>1075</v>
      </c>
      <c r="C216" t="s">
        <v>915</v>
      </c>
      <c r="D216" s="3" t="s">
        <v>1174</v>
      </c>
      <c r="E216" s="1">
        <f t="shared" si="6"/>
        <v>0</v>
      </c>
      <c r="F216" s="3"/>
    </row>
    <row r="217" spans="1:7" x14ac:dyDescent="0.5">
      <c r="A217" t="s">
        <v>759</v>
      </c>
      <c r="B217" s="4" t="s">
        <v>1076</v>
      </c>
      <c r="C217" t="s">
        <v>1077</v>
      </c>
      <c r="D217" s="3" t="s">
        <v>1174</v>
      </c>
      <c r="E217" s="1">
        <f t="shared" si="6"/>
        <v>0</v>
      </c>
      <c r="F217" s="3"/>
    </row>
    <row r="218" spans="1:7" x14ac:dyDescent="0.5">
      <c r="A218" t="s">
        <v>759</v>
      </c>
      <c r="B218" s="4" t="s">
        <v>1078</v>
      </c>
      <c r="C218" t="s">
        <v>1079</v>
      </c>
      <c r="D218" s="3" t="s">
        <v>1174</v>
      </c>
      <c r="E218" s="1">
        <f t="shared" si="6"/>
        <v>0</v>
      </c>
      <c r="F218" s="3"/>
    </row>
    <row r="219" spans="1:7" x14ac:dyDescent="0.5">
      <c r="A219" t="s">
        <v>759</v>
      </c>
      <c r="B219" s="4" t="s">
        <v>1080</v>
      </c>
      <c r="C219" t="s">
        <v>916</v>
      </c>
      <c r="D219" s="3" t="s">
        <v>1174</v>
      </c>
      <c r="E219" s="1">
        <f t="shared" si="6"/>
        <v>0</v>
      </c>
      <c r="F219" s="3"/>
    </row>
    <row r="220" spans="1:7" x14ac:dyDescent="0.5">
      <c r="A220" t="s">
        <v>759</v>
      </c>
      <c r="B220" s="4" t="s">
        <v>1081</v>
      </c>
      <c r="C220" t="s">
        <v>917</v>
      </c>
      <c r="D220" s="3" t="s">
        <v>1174</v>
      </c>
      <c r="E220" s="1">
        <f t="shared" si="6"/>
        <v>0</v>
      </c>
      <c r="F220" s="3"/>
    </row>
    <row r="221" spans="1:7" x14ac:dyDescent="0.5">
      <c r="A221" t="s">
        <v>759</v>
      </c>
      <c r="B221" s="4" t="s">
        <v>1082</v>
      </c>
      <c r="C221" t="s">
        <v>1083</v>
      </c>
      <c r="D221" s="3" t="s">
        <v>1174</v>
      </c>
      <c r="E221" s="1">
        <f t="shared" si="6"/>
        <v>1</v>
      </c>
      <c r="F221" s="3"/>
    </row>
    <row r="222" spans="1:7" x14ac:dyDescent="0.5">
      <c r="A222" t="s">
        <v>759</v>
      </c>
      <c r="B222" s="4" t="s">
        <v>1084</v>
      </c>
      <c r="C222" t="s">
        <v>1085</v>
      </c>
      <c r="D222" s="3" t="s">
        <v>1174</v>
      </c>
      <c r="E222" s="1">
        <f t="shared" si="6"/>
        <v>0</v>
      </c>
      <c r="F222" s="3"/>
    </row>
    <row r="223" spans="1:7" x14ac:dyDescent="0.5">
      <c r="A223" t="s">
        <v>759</v>
      </c>
      <c r="B223" s="4" t="s">
        <v>1086</v>
      </c>
      <c r="C223" t="s">
        <v>1087</v>
      </c>
      <c r="D223" s="3" t="s">
        <v>1174</v>
      </c>
      <c r="E223" s="1">
        <f t="shared" si="6"/>
        <v>0</v>
      </c>
      <c r="F223" s="3"/>
    </row>
    <row r="224" spans="1:7" x14ac:dyDescent="0.5">
      <c r="A224" t="s">
        <v>759</v>
      </c>
      <c r="B224" s="4" t="s">
        <v>1088</v>
      </c>
      <c r="C224" t="s">
        <v>1089</v>
      </c>
      <c r="D224" s="3" t="s">
        <v>1174</v>
      </c>
      <c r="E224" s="1">
        <f t="shared" si="6"/>
        <v>0</v>
      </c>
      <c r="F224" s="3"/>
    </row>
    <row r="225" spans="1:6" x14ac:dyDescent="0.5">
      <c r="A225" t="s">
        <v>759</v>
      </c>
      <c r="B225" s="4" t="s">
        <v>1090</v>
      </c>
      <c r="C225" t="s">
        <v>918</v>
      </c>
      <c r="D225" s="3" t="s">
        <v>1174</v>
      </c>
      <c r="E225" s="1">
        <f t="shared" si="6"/>
        <v>0</v>
      </c>
      <c r="F225" s="3"/>
    </row>
    <row r="226" spans="1:6" x14ac:dyDescent="0.5">
      <c r="A226" t="s">
        <v>759</v>
      </c>
      <c r="B226" s="4" t="s">
        <v>1091</v>
      </c>
      <c r="C226" t="s">
        <v>919</v>
      </c>
      <c r="D226" s="3" t="s">
        <v>1174</v>
      </c>
      <c r="E226" s="1">
        <f t="shared" si="6"/>
        <v>0</v>
      </c>
      <c r="F226" s="3"/>
    </row>
    <row r="227" spans="1:6" x14ac:dyDescent="0.5">
      <c r="A227" t="s">
        <v>759</v>
      </c>
      <c r="B227" s="4" t="s">
        <v>1092</v>
      </c>
      <c r="C227" t="s">
        <v>921</v>
      </c>
      <c r="D227" s="3" t="s">
        <v>1174</v>
      </c>
      <c r="E227" s="1">
        <f t="shared" si="6"/>
        <v>0</v>
      </c>
      <c r="F227" s="3"/>
    </row>
    <row r="228" spans="1:6" x14ac:dyDescent="0.5">
      <c r="A228" t="s">
        <v>759</v>
      </c>
      <c r="B228" s="4" t="s">
        <v>1093</v>
      </c>
      <c r="C228" t="s">
        <v>933</v>
      </c>
      <c r="D228" s="3" t="s">
        <v>1174</v>
      </c>
      <c r="E228" s="1">
        <f t="shared" si="6"/>
        <v>0</v>
      </c>
      <c r="F228" s="3"/>
    </row>
    <row r="229" spans="1:6" x14ac:dyDescent="0.5">
      <c r="A229" t="s">
        <v>759</v>
      </c>
      <c r="B229" s="4" t="s">
        <v>1094</v>
      </c>
      <c r="C229" t="s">
        <v>945</v>
      </c>
      <c r="D229" s="3" t="s">
        <v>1174</v>
      </c>
      <c r="E229" s="1">
        <f t="shared" si="6"/>
        <v>0</v>
      </c>
      <c r="F229" s="3"/>
    </row>
    <row r="230" spans="1:6" x14ac:dyDescent="0.5">
      <c r="A230" t="s">
        <v>759</v>
      </c>
      <c r="B230" s="4" t="s">
        <v>1095</v>
      </c>
      <c r="C230" t="s">
        <v>946</v>
      </c>
      <c r="D230" s="3" t="s">
        <v>1174</v>
      </c>
      <c r="E230" s="1">
        <f t="shared" si="6"/>
        <v>0</v>
      </c>
      <c r="F230" s="3"/>
    </row>
    <row r="231" spans="1:6" x14ac:dyDescent="0.5">
      <c r="A231" t="s">
        <v>759</v>
      </c>
      <c r="B231" s="4" t="s">
        <v>1096</v>
      </c>
      <c r="C231" t="s">
        <v>964</v>
      </c>
      <c r="D231" s="3" t="s">
        <v>1174</v>
      </c>
      <c r="E231" s="1">
        <f t="shared" si="6"/>
        <v>0</v>
      </c>
      <c r="F231" s="3"/>
    </row>
    <row r="232" spans="1:6" x14ac:dyDescent="0.5">
      <c r="A232" t="s">
        <v>759</v>
      </c>
      <c r="B232" s="4" t="s">
        <v>1097</v>
      </c>
      <c r="C232" t="s">
        <v>1098</v>
      </c>
      <c r="D232" s="3" t="s">
        <v>1174</v>
      </c>
      <c r="E232" s="1">
        <f t="shared" si="6"/>
        <v>0</v>
      </c>
      <c r="F232" s="3"/>
    </row>
    <row r="233" spans="1:6" x14ac:dyDescent="0.5">
      <c r="A233" t="s">
        <v>759</v>
      </c>
      <c r="B233" s="4" t="s">
        <v>1099</v>
      </c>
      <c r="C233" t="s">
        <v>1100</v>
      </c>
      <c r="D233" s="3" t="s">
        <v>1174</v>
      </c>
      <c r="E233" s="1">
        <f t="shared" si="6"/>
        <v>0</v>
      </c>
      <c r="F233" s="3"/>
    </row>
    <row r="234" spans="1:6" x14ac:dyDescent="0.5">
      <c r="A234" t="s">
        <v>759</v>
      </c>
      <c r="B234" s="4" t="s">
        <v>1101</v>
      </c>
      <c r="C234" t="s">
        <v>1102</v>
      </c>
      <c r="D234" s="3" t="s">
        <v>1174</v>
      </c>
      <c r="E234" s="1">
        <f t="shared" si="6"/>
        <v>0</v>
      </c>
      <c r="F234" s="3"/>
    </row>
    <row r="235" spans="1:6" x14ac:dyDescent="0.5">
      <c r="A235" t="s">
        <v>759</v>
      </c>
      <c r="B235" s="4" t="s">
        <v>1103</v>
      </c>
      <c r="C235" t="s">
        <v>1104</v>
      </c>
      <c r="D235" s="3" t="s">
        <v>1174</v>
      </c>
      <c r="E235" s="1">
        <f t="shared" si="6"/>
        <v>0</v>
      </c>
      <c r="F235" s="3"/>
    </row>
    <row r="236" spans="1:6" x14ac:dyDescent="0.5">
      <c r="A236" t="s">
        <v>759</v>
      </c>
      <c r="B236" s="4" t="s">
        <v>1105</v>
      </c>
      <c r="C236" t="s">
        <v>1106</v>
      </c>
      <c r="D236" s="3" t="s">
        <v>1174</v>
      </c>
      <c r="E236" s="1">
        <f t="shared" si="6"/>
        <v>0</v>
      </c>
      <c r="F236" s="3"/>
    </row>
    <row r="237" spans="1:6" x14ac:dyDescent="0.5">
      <c r="A237" t="s">
        <v>759</v>
      </c>
      <c r="B237" s="4" t="s">
        <v>1107</v>
      </c>
      <c r="C237" t="s">
        <v>1108</v>
      </c>
      <c r="D237" s="3" t="s">
        <v>1174</v>
      </c>
      <c r="E237" s="1">
        <f t="shared" si="6"/>
        <v>0</v>
      </c>
      <c r="F237" s="3"/>
    </row>
    <row r="238" spans="1:6" x14ac:dyDescent="0.5">
      <c r="A238" t="s">
        <v>759</v>
      </c>
      <c r="B238" s="4" t="s">
        <v>1109</v>
      </c>
      <c r="C238" t="s">
        <v>1110</v>
      </c>
      <c r="D238" s="3" t="s">
        <v>1174</v>
      </c>
      <c r="E238" s="1">
        <f t="shared" si="6"/>
        <v>0</v>
      </c>
      <c r="F238" s="3"/>
    </row>
    <row r="239" spans="1:6" x14ac:dyDescent="0.5">
      <c r="A239" t="s">
        <v>759</v>
      </c>
      <c r="B239" s="4" t="s">
        <v>1111</v>
      </c>
      <c r="C239" t="s">
        <v>1112</v>
      </c>
      <c r="D239" s="3" t="s">
        <v>1174</v>
      </c>
      <c r="E239" s="1">
        <f t="shared" si="6"/>
        <v>0</v>
      </c>
      <c r="F239" s="3"/>
    </row>
    <row r="240" spans="1:6" x14ac:dyDescent="0.5">
      <c r="A240" t="s">
        <v>759</v>
      </c>
      <c r="B240" s="4" t="s">
        <v>1113</v>
      </c>
      <c r="C240" t="s">
        <v>1114</v>
      </c>
      <c r="D240" s="3" t="s">
        <v>1174</v>
      </c>
      <c r="E240" s="1">
        <f t="shared" si="6"/>
        <v>0</v>
      </c>
      <c r="F240" s="3"/>
    </row>
    <row r="241" spans="1:6" x14ac:dyDescent="0.5">
      <c r="A241" t="s">
        <v>759</v>
      </c>
      <c r="B241" s="4" t="s">
        <v>1115</v>
      </c>
      <c r="C241" t="s">
        <v>1116</v>
      </c>
      <c r="D241" s="3" t="s">
        <v>1174</v>
      </c>
      <c r="E241" s="1">
        <f t="shared" si="6"/>
        <v>0</v>
      </c>
      <c r="F241" s="3"/>
    </row>
    <row r="242" spans="1:6" x14ac:dyDescent="0.5">
      <c r="A242" t="s">
        <v>759</v>
      </c>
      <c r="B242" s="4" t="s">
        <v>1117</v>
      </c>
      <c r="C242" t="s">
        <v>1118</v>
      </c>
      <c r="D242" s="3" t="s">
        <v>1174</v>
      </c>
      <c r="E242" s="1">
        <f t="shared" si="6"/>
        <v>0</v>
      </c>
      <c r="F242" s="3"/>
    </row>
    <row r="243" spans="1:6" x14ac:dyDescent="0.5">
      <c r="A243" t="s">
        <v>759</v>
      </c>
      <c r="B243" s="4" t="s">
        <v>1119</v>
      </c>
      <c r="C243" t="s">
        <v>1120</v>
      </c>
      <c r="D243" s="3" t="s">
        <v>1174</v>
      </c>
      <c r="E243" s="1">
        <f t="shared" si="6"/>
        <v>0</v>
      </c>
      <c r="F243" s="3"/>
    </row>
    <row r="244" spans="1:6" x14ac:dyDescent="0.5">
      <c r="A244" t="s">
        <v>759</v>
      </c>
      <c r="B244" s="4" t="s">
        <v>1121</v>
      </c>
      <c r="C244" t="s">
        <v>1122</v>
      </c>
      <c r="D244" s="3" t="s">
        <v>1174</v>
      </c>
      <c r="E244" s="1">
        <f t="shared" si="6"/>
        <v>0</v>
      </c>
      <c r="F244" s="3"/>
    </row>
    <row r="245" spans="1:6" x14ac:dyDescent="0.5">
      <c r="A245" t="s">
        <v>759</v>
      </c>
      <c r="B245" s="4" t="s">
        <v>1123</v>
      </c>
      <c r="C245" t="s">
        <v>1124</v>
      </c>
      <c r="D245" s="3" t="s">
        <v>1174</v>
      </c>
      <c r="E245" s="1">
        <f t="shared" si="6"/>
        <v>0</v>
      </c>
      <c r="F245" s="3"/>
    </row>
    <row r="246" spans="1:6" x14ac:dyDescent="0.5">
      <c r="A246" t="s">
        <v>759</v>
      </c>
      <c r="B246" s="4" t="s">
        <v>1125</v>
      </c>
      <c r="C246" t="s">
        <v>1126</v>
      </c>
      <c r="D246" s="3" t="s">
        <v>1174</v>
      </c>
      <c r="E246" s="1">
        <f t="shared" si="6"/>
        <v>0</v>
      </c>
      <c r="F246" s="3"/>
    </row>
    <row r="247" spans="1:6" x14ac:dyDescent="0.5">
      <c r="A247" t="s">
        <v>759</v>
      </c>
      <c r="B247" s="4" t="s">
        <v>1127</v>
      </c>
      <c r="C247" t="s">
        <v>1128</v>
      </c>
      <c r="D247" s="3" t="s">
        <v>1174</v>
      </c>
      <c r="E247" s="1">
        <f t="shared" si="6"/>
        <v>0</v>
      </c>
      <c r="F247" s="3"/>
    </row>
    <row r="248" spans="1:6" x14ac:dyDescent="0.5">
      <c r="A248" t="s">
        <v>759</v>
      </c>
      <c r="B248" s="4" t="s">
        <v>1129</v>
      </c>
      <c r="C248" t="s">
        <v>1130</v>
      </c>
      <c r="D248" s="3" t="s">
        <v>1174</v>
      </c>
      <c r="E248" s="1">
        <f t="shared" si="6"/>
        <v>0</v>
      </c>
      <c r="F248" s="3"/>
    </row>
    <row r="249" spans="1:6" x14ac:dyDescent="0.5">
      <c r="A249" t="s">
        <v>759</v>
      </c>
      <c r="B249" s="4" t="s">
        <v>1131</v>
      </c>
      <c r="C249" t="s">
        <v>1132</v>
      </c>
      <c r="D249" s="3" t="s">
        <v>1174</v>
      </c>
      <c r="E249" s="1">
        <f t="shared" si="6"/>
        <v>0</v>
      </c>
      <c r="F249" s="3"/>
    </row>
    <row r="250" spans="1:6" x14ac:dyDescent="0.5">
      <c r="A250" t="s">
        <v>759</v>
      </c>
      <c r="B250" s="4" t="s">
        <v>1133</v>
      </c>
      <c r="C250" t="s">
        <v>1134</v>
      </c>
      <c r="D250" s="3" t="s">
        <v>1174</v>
      </c>
      <c r="E250" s="1">
        <f t="shared" si="6"/>
        <v>0</v>
      </c>
      <c r="F250" s="3"/>
    </row>
    <row r="251" spans="1:6" x14ac:dyDescent="0.5">
      <c r="A251" t="s">
        <v>759</v>
      </c>
      <c r="B251" s="4" t="s">
        <v>1135</v>
      </c>
      <c r="C251" t="s">
        <v>1136</v>
      </c>
      <c r="D251" s="3" t="s">
        <v>1174</v>
      </c>
      <c r="E251" s="1">
        <f t="shared" si="6"/>
        <v>0</v>
      </c>
      <c r="F251" s="3"/>
    </row>
    <row r="252" spans="1:6" x14ac:dyDescent="0.5">
      <c r="A252" t="s">
        <v>759</v>
      </c>
      <c r="B252" s="4" t="s">
        <v>1137</v>
      </c>
      <c r="C252" t="s">
        <v>1138</v>
      </c>
      <c r="D252" s="3" t="s">
        <v>1174</v>
      </c>
      <c r="E252" s="1">
        <f t="shared" si="6"/>
        <v>0</v>
      </c>
      <c r="F252" s="3"/>
    </row>
    <row r="253" spans="1:6" x14ac:dyDescent="0.5">
      <c r="A253" t="s">
        <v>759</v>
      </c>
      <c r="B253" s="4" t="s">
        <v>1139</v>
      </c>
      <c r="C253" t="s">
        <v>1140</v>
      </c>
      <c r="D253" s="3" t="s">
        <v>1174</v>
      </c>
      <c r="E253" s="1">
        <f t="shared" si="6"/>
        <v>0</v>
      </c>
      <c r="F253" s="3"/>
    </row>
    <row r="254" spans="1:6" x14ac:dyDescent="0.5">
      <c r="A254" t="s">
        <v>759</v>
      </c>
      <c r="B254" s="4" t="s">
        <v>1141</v>
      </c>
      <c r="C254" t="s">
        <v>1142</v>
      </c>
      <c r="D254" s="3" t="s">
        <v>1174</v>
      </c>
      <c r="E254" s="1">
        <f t="shared" si="6"/>
        <v>0</v>
      </c>
      <c r="F254" s="3"/>
    </row>
    <row r="255" spans="1:6" x14ac:dyDescent="0.5">
      <c r="A255" t="s">
        <v>759</v>
      </c>
      <c r="B255" s="4" t="s">
        <v>1143</v>
      </c>
      <c r="C255" t="s">
        <v>1144</v>
      </c>
      <c r="D255" s="3" t="s">
        <v>1174</v>
      </c>
      <c r="E255" s="1">
        <f t="shared" si="6"/>
        <v>0</v>
      </c>
      <c r="F255" s="3"/>
    </row>
    <row r="256" spans="1:6" x14ac:dyDescent="0.5">
      <c r="A256" t="s">
        <v>759</v>
      </c>
      <c r="B256" s="4" t="s">
        <v>1145</v>
      </c>
      <c r="C256" t="s">
        <v>1146</v>
      </c>
      <c r="D256" s="3" t="s">
        <v>1174</v>
      </c>
      <c r="E256" s="1">
        <f t="shared" si="6"/>
        <v>0</v>
      </c>
      <c r="F256" s="3"/>
    </row>
    <row r="257" spans="1:6" x14ac:dyDescent="0.5">
      <c r="A257" t="s">
        <v>759</v>
      </c>
      <c r="B257" s="4" t="s">
        <v>1147</v>
      </c>
      <c r="C257" t="s">
        <v>1148</v>
      </c>
      <c r="D257" s="3" t="s">
        <v>1174</v>
      </c>
      <c r="E257" s="1">
        <f t="shared" si="6"/>
        <v>0</v>
      </c>
      <c r="F257" s="3"/>
    </row>
    <row r="258" spans="1:6" x14ac:dyDescent="0.5">
      <c r="A258" t="s">
        <v>759</v>
      </c>
      <c r="B258" s="4" t="s">
        <v>1149</v>
      </c>
      <c r="C258" t="s">
        <v>1150</v>
      </c>
      <c r="D258" s="3" t="s">
        <v>1174</v>
      </c>
      <c r="E258" s="1">
        <f t="shared" si="6"/>
        <v>0</v>
      </c>
      <c r="F258" s="3"/>
    </row>
    <row r="259" spans="1:6" x14ac:dyDescent="0.5">
      <c r="A259" t="s">
        <v>759</v>
      </c>
      <c r="B259" s="4" t="s">
        <v>1151</v>
      </c>
      <c r="C259" t="s">
        <v>1152</v>
      </c>
      <c r="D259" s="3" t="s">
        <v>1174</v>
      </c>
      <c r="E259" s="1">
        <f t="shared" ref="E259:E265" si="8">IF(B259=LEFT(B260,LEN(B259)),1,0)</f>
        <v>0</v>
      </c>
      <c r="F259" s="3"/>
    </row>
    <row r="260" spans="1:6" x14ac:dyDescent="0.5">
      <c r="A260" t="s">
        <v>759</v>
      </c>
      <c r="B260" s="4" t="s">
        <v>1153</v>
      </c>
      <c r="C260" t="s">
        <v>1154</v>
      </c>
      <c r="D260" s="3" t="s">
        <v>1174</v>
      </c>
      <c r="E260" s="1">
        <f t="shared" si="8"/>
        <v>0</v>
      </c>
      <c r="F260" s="3"/>
    </row>
    <row r="261" spans="1:6" x14ac:dyDescent="0.5">
      <c r="A261" t="s">
        <v>759</v>
      </c>
      <c r="B261" s="4" t="s">
        <v>1155</v>
      </c>
      <c r="C261" t="s">
        <v>1156</v>
      </c>
      <c r="D261" s="3">
        <v>100.72216381944401</v>
      </c>
      <c r="E261" s="1">
        <f t="shared" si="8"/>
        <v>0</v>
      </c>
      <c r="F261" s="3"/>
    </row>
    <row r="262" spans="1:6" x14ac:dyDescent="0.5">
      <c r="A262" t="s">
        <v>759</v>
      </c>
      <c r="B262" s="4" t="s">
        <v>1157</v>
      </c>
      <c r="C262" t="s">
        <v>1077</v>
      </c>
      <c r="D262" s="3">
        <v>797.39183274014101</v>
      </c>
      <c r="E262" s="1">
        <f t="shared" si="8"/>
        <v>0</v>
      </c>
      <c r="F262" s="3"/>
    </row>
    <row r="263" spans="1:6" x14ac:dyDescent="0.5">
      <c r="A263" t="s">
        <v>759</v>
      </c>
      <c r="B263" s="4" t="s">
        <v>1158</v>
      </c>
      <c r="C263" t="s">
        <v>1098</v>
      </c>
      <c r="D263" s="3" t="s">
        <v>1174</v>
      </c>
      <c r="E263" s="1">
        <f t="shared" si="8"/>
        <v>0</v>
      </c>
      <c r="F263" s="3"/>
    </row>
    <row r="264" spans="1:6" x14ac:dyDescent="0.5">
      <c r="A264" t="s">
        <v>759</v>
      </c>
      <c r="B264" s="4" t="s">
        <v>1159</v>
      </c>
      <c r="C264" t="s">
        <v>1160</v>
      </c>
      <c r="D264" s="3" t="s">
        <v>1174</v>
      </c>
      <c r="E264" s="1">
        <f t="shared" si="8"/>
        <v>0</v>
      </c>
      <c r="F264" s="3"/>
    </row>
    <row r="265" spans="1:6" x14ac:dyDescent="0.5">
      <c r="A265" t="s">
        <v>759</v>
      </c>
      <c r="B265" s="4" t="s">
        <v>1161</v>
      </c>
      <c r="C265" t="s">
        <v>1162</v>
      </c>
      <c r="D265" s="3">
        <v>13.089544672896</v>
      </c>
      <c r="E265" s="1">
        <f t="shared" si="8"/>
        <v>0</v>
      </c>
      <c r="F265" s="3"/>
    </row>
  </sheetData>
  <sortState xmlns:xlrd2="http://schemas.microsoft.com/office/spreadsheetml/2017/richdata2" ref="L2:L37">
    <sortCondition ref="L2:L3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FC7F-9C57-4942-B2B8-0CA8B9E226D4}">
  <dimension ref="A1:D183"/>
  <sheetViews>
    <sheetView topLeftCell="A101" workbookViewId="0">
      <selection activeCell="C121" sqref="C121"/>
    </sheetView>
  </sheetViews>
  <sheetFormatPr defaultRowHeight="15.75" x14ac:dyDescent="0.5"/>
  <cols>
    <col min="1" max="1" width="130.5" customWidth="1"/>
    <col min="2" max="2" width="24.5" bestFit="1" customWidth="1"/>
  </cols>
  <sheetData>
    <row r="1" spans="1:4" x14ac:dyDescent="0.5">
      <c r="A1" t="s">
        <v>1420</v>
      </c>
      <c r="B1" t="s">
        <v>1421</v>
      </c>
      <c r="C1" t="s">
        <v>1431</v>
      </c>
      <c r="D1" t="s">
        <v>2114</v>
      </c>
    </row>
    <row r="2" spans="1:4" x14ac:dyDescent="0.5">
      <c r="A2" t="s">
        <v>1238</v>
      </c>
      <c r="B2" t="s">
        <v>1423</v>
      </c>
    </row>
    <row r="3" spans="1:4" x14ac:dyDescent="0.5">
      <c r="A3" t="s">
        <v>1239</v>
      </c>
    </row>
    <row r="4" spans="1:4" x14ac:dyDescent="0.5">
      <c r="A4" t="s">
        <v>1240</v>
      </c>
    </row>
    <row r="5" spans="1:4" x14ac:dyDescent="0.5">
      <c r="A5" t="s">
        <v>1241</v>
      </c>
    </row>
    <row r="6" spans="1:4" x14ac:dyDescent="0.5">
      <c r="A6" t="s">
        <v>1242</v>
      </c>
    </row>
    <row r="7" spans="1:4" x14ac:dyDescent="0.5">
      <c r="A7" t="s">
        <v>1243</v>
      </c>
    </row>
    <row r="8" spans="1:4" x14ac:dyDescent="0.5">
      <c r="A8" t="s">
        <v>1244</v>
      </c>
    </row>
    <row r="9" spans="1:4" x14ac:dyDescent="0.5">
      <c r="A9" t="s">
        <v>1245</v>
      </c>
      <c r="B9" t="s">
        <v>1424</v>
      </c>
      <c r="C9" t="s">
        <v>1432</v>
      </c>
    </row>
    <row r="10" spans="1:4" x14ac:dyDescent="0.5">
      <c r="A10" t="s">
        <v>1246</v>
      </c>
      <c r="B10" t="s">
        <v>1424</v>
      </c>
      <c r="C10" t="s">
        <v>1432</v>
      </c>
    </row>
    <row r="11" spans="1:4" x14ac:dyDescent="0.5">
      <c r="A11" t="s">
        <v>1247</v>
      </c>
    </row>
    <row r="12" spans="1:4" x14ac:dyDescent="0.5">
      <c r="A12" t="s">
        <v>1248</v>
      </c>
    </row>
    <row r="13" spans="1:4" x14ac:dyDescent="0.5">
      <c r="A13" t="s">
        <v>1249</v>
      </c>
    </row>
    <row r="14" spans="1:4" x14ac:dyDescent="0.5">
      <c r="A14" t="s">
        <v>1250</v>
      </c>
    </row>
    <row r="15" spans="1:4" x14ac:dyDescent="0.5">
      <c r="A15" t="s">
        <v>1251</v>
      </c>
    </row>
    <row r="16" spans="1:4" x14ac:dyDescent="0.5">
      <c r="A16" t="s">
        <v>1252</v>
      </c>
    </row>
    <row r="17" spans="1:3" x14ac:dyDescent="0.5">
      <c r="A17" t="s">
        <v>1253</v>
      </c>
    </row>
    <row r="18" spans="1:3" x14ac:dyDescent="0.5">
      <c r="A18" t="s">
        <v>1254</v>
      </c>
    </row>
    <row r="19" spans="1:3" x14ac:dyDescent="0.5">
      <c r="A19" t="s">
        <v>1255</v>
      </c>
    </row>
    <row r="20" spans="1:3" x14ac:dyDescent="0.5">
      <c r="A20" t="s">
        <v>1256</v>
      </c>
    </row>
    <row r="21" spans="1:3" x14ac:dyDescent="0.5">
      <c r="A21" t="s">
        <v>1257</v>
      </c>
    </row>
    <row r="22" spans="1:3" x14ac:dyDescent="0.5">
      <c r="A22" t="s">
        <v>1258</v>
      </c>
      <c r="B22" t="s">
        <v>1436</v>
      </c>
      <c r="C22" t="s">
        <v>1433</v>
      </c>
    </row>
    <row r="23" spans="1:3" x14ac:dyDescent="0.5">
      <c r="A23" t="s">
        <v>1259</v>
      </c>
    </row>
    <row r="24" spans="1:3" x14ac:dyDescent="0.5">
      <c r="A24" t="s">
        <v>1260</v>
      </c>
    </row>
    <row r="25" spans="1:3" x14ac:dyDescent="0.5">
      <c r="A25" t="s">
        <v>1261</v>
      </c>
    </row>
    <row r="26" spans="1:3" x14ac:dyDescent="0.5">
      <c r="A26" t="s">
        <v>1262</v>
      </c>
    </row>
    <row r="27" spans="1:3" x14ac:dyDescent="0.5">
      <c r="A27" t="s">
        <v>1263</v>
      </c>
    </row>
    <row r="28" spans="1:3" x14ac:dyDescent="0.5">
      <c r="A28" t="s">
        <v>1264</v>
      </c>
    </row>
    <row r="29" spans="1:3" x14ac:dyDescent="0.5">
      <c r="A29" t="s">
        <v>1265</v>
      </c>
    </row>
    <row r="30" spans="1:3" x14ac:dyDescent="0.5">
      <c r="A30" t="s">
        <v>1266</v>
      </c>
    </row>
    <row r="31" spans="1:3" x14ac:dyDescent="0.5">
      <c r="A31" t="s">
        <v>1267</v>
      </c>
    </row>
    <row r="32" spans="1:3" x14ac:dyDescent="0.5">
      <c r="A32" t="s">
        <v>1268</v>
      </c>
    </row>
    <row r="33" spans="1:3" x14ac:dyDescent="0.5">
      <c r="A33" t="s">
        <v>1269</v>
      </c>
    </row>
    <row r="34" spans="1:3" x14ac:dyDescent="0.5">
      <c r="A34" t="s">
        <v>1270</v>
      </c>
    </row>
    <row r="35" spans="1:3" x14ac:dyDescent="0.5">
      <c r="A35" t="s">
        <v>1271</v>
      </c>
      <c r="B35" t="s">
        <v>1436</v>
      </c>
      <c r="C35" t="s">
        <v>1434</v>
      </c>
    </row>
    <row r="36" spans="1:3" x14ac:dyDescent="0.5">
      <c r="A36" t="s">
        <v>1272</v>
      </c>
    </row>
    <row r="37" spans="1:3" x14ac:dyDescent="0.5">
      <c r="A37" t="s">
        <v>1273</v>
      </c>
    </row>
    <row r="38" spans="1:3" x14ac:dyDescent="0.5">
      <c r="A38" t="s">
        <v>1274</v>
      </c>
    </row>
    <row r="39" spans="1:3" x14ac:dyDescent="0.5">
      <c r="A39" t="s">
        <v>1275</v>
      </c>
    </row>
    <row r="40" spans="1:3" x14ac:dyDescent="0.5">
      <c r="A40" t="s">
        <v>1276</v>
      </c>
    </row>
    <row r="41" spans="1:3" x14ac:dyDescent="0.5">
      <c r="A41" t="s">
        <v>1277</v>
      </c>
    </row>
    <row r="42" spans="1:3" x14ac:dyDescent="0.5">
      <c r="A42" t="s">
        <v>1278</v>
      </c>
    </row>
    <row r="43" spans="1:3" x14ac:dyDescent="0.5">
      <c r="A43" t="s">
        <v>1279</v>
      </c>
    </row>
    <row r="44" spans="1:3" x14ac:dyDescent="0.5">
      <c r="A44" t="s">
        <v>1280</v>
      </c>
    </row>
    <row r="45" spans="1:3" x14ac:dyDescent="0.5">
      <c r="A45" t="s">
        <v>1281</v>
      </c>
    </row>
    <row r="46" spans="1:3" x14ac:dyDescent="0.5">
      <c r="A46" t="s">
        <v>1282</v>
      </c>
    </row>
    <row r="47" spans="1:3" x14ac:dyDescent="0.5">
      <c r="A47" t="s">
        <v>1283</v>
      </c>
      <c r="B47" t="s">
        <v>1436</v>
      </c>
      <c r="C47" t="s">
        <v>1435</v>
      </c>
    </row>
    <row r="48" spans="1:3" x14ac:dyDescent="0.5">
      <c r="A48" t="s">
        <v>1284</v>
      </c>
    </row>
    <row r="49" spans="1:1" x14ac:dyDescent="0.5">
      <c r="A49" t="s">
        <v>1285</v>
      </c>
    </row>
    <row r="50" spans="1:1" x14ac:dyDescent="0.5">
      <c r="A50" t="s">
        <v>1286</v>
      </c>
    </row>
    <row r="51" spans="1:1" x14ac:dyDescent="0.5">
      <c r="A51" t="s">
        <v>1287</v>
      </c>
    </row>
    <row r="52" spans="1:1" x14ac:dyDescent="0.5">
      <c r="A52" t="s">
        <v>1288</v>
      </c>
    </row>
    <row r="53" spans="1:1" x14ac:dyDescent="0.5">
      <c r="A53" t="s">
        <v>1289</v>
      </c>
    </row>
    <row r="54" spans="1:1" x14ac:dyDescent="0.5">
      <c r="A54" t="s">
        <v>1290</v>
      </c>
    </row>
    <row r="55" spans="1:1" x14ac:dyDescent="0.5">
      <c r="A55" t="s">
        <v>1291</v>
      </c>
    </row>
    <row r="56" spans="1:1" x14ac:dyDescent="0.5">
      <c r="A56" t="s">
        <v>1292</v>
      </c>
    </row>
    <row r="57" spans="1:1" x14ac:dyDescent="0.5">
      <c r="A57" t="s">
        <v>1293</v>
      </c>
    </row>
    <row r="58" spans="1:1" x14ac:dyDescent="0.5">
      <c r="A58" t="s">
        <v>1294</v>
      </c>
    </row>
    <row r="59" spans="1:1" x14ac:dyDescent="0.5">
      <c r="A59" t="s">
        <v>1295</v>
      </c>
    </row>
    <row r="60" spans="1:1" x14ac:dyDescent="0.5">
      <c r="A60" t="s">
        <v>1296</v>
      </c>
    </row>
    <row r="61" spans="1:1" x14ac:dyDescent="0.5">
      <c r="A61" t="s">
        <v>1297</v>
      </c>
    </row>
    <row r="62" spans="1:1" x14ac:dyDescent="0.5">
      <c r="A62" t="s">
        <v>1298</v>
      </c>
    </row>
    <row r="63" spans="1:1" x14ac:dyDescent="0.5">
      <c r="A63" t="s">
        <v>1299</v>
      </c>
    </row>
    <row r="64" spans="1:1" x14ac:dyDescent="0.5">
      <c r="A64" t="s">
        <v>1300</v>
      </c>
    </row>
    <row r="65" spans="1:3" x14ac:dyDescent="0.5">
      <c r="A65" t="s">
        <v>1301</v>
      </c>
    </row>
    <row r="66" spans="1:3" x14ac:dyDescent="0.5">
      <c r="A66" t="s">
        <v>1302</v>
      </c>
    </row>
    <row r="67" spans="1:3" x14ac:dyDescent="0.5">
      <c r="A67" t="s">
        <v>1303</v>
      </c>
    </row>
    <row r="68" spans="1:3" x14ac:dyDescent="0.5">
      <c r="A68" t="s">
        <v>1304</v>
      </c>
    </row>
    <row r="69" spans="1:3" x14ac:dyDescent="0.5">
      <c r="A69" t="s">
        <v>1305</v>
      </c>
    </row>
    <row r="70" spans="1:3" x14ac:dyDescent="0.5">
      <c r="A70" t="s">
        <v>1306</v>
      </c>
    </row>
    <row r="71" spans="1:3" x14ac:dyDescent="0.5">
      <c r="A71" t="s">
        <v>1307</v>
      </c>
    </row>
    <row r="72" spans="1:3" x14ac:dyDescent="0.5">
      <c r="A72" t="s">
        <v>1308</v>
      </c>
      <c r="B72" t="s">
        <v>1437</v>
      </c>
      <c r="C72" t="s">
        <v>3</v>
      </c>
    </row>
    <row r="73" spans="1:3" x14ac:dyDescent="0.5">
      <c r="A73" t="s">
        <v>1309</v>
      </c>
      <c r="B73" t="s">
        <v>1437</v>
      </c>
      <c r="C73" t="s">
        <v>6</v>
      </c>
    </row>
    <row r="74" spans="1:3" x14ac:dyDescent="0.5">
      <c r="A74" t="s">
        <v>1310</v>
      </c>
      <c r="B74" t="s">
        <v>1437</v>
      </c>
      <c r="C74" t="s">
        <v>1165</v>
      </c>
    </row>
    <row r="75" spans="1:3" x14ac:dyDescent="0.5">
      <c r="A75" t="s">
        <v>1311</v>
      </c>
      <c r="B75" t="s">
        <v>1422</v>
      </c>
    </row>
    <row r="76" spans="1:3" x14ac:dyDescent="0.5">
      <c r="A76" t="s">
        <v>1312</v>
      </c>
    </row>
    <row r="77" spans="1:3" x14ac:dyDescent="0.5">
      <c r="A77" t="s">
        <v>1313</v>
      </c>
    </row>
    <row r="78" spans="1:3" x14ac:dyDescent="0.5">
      <c r="A78" t="s">
        <v>1314</v>
      </c>
    </row>
    <row r="79" spans="1:3" x14ac:dyDescent="0.5">
      <c r="A79" t="s">
        <v>1315</v>
      </c>
    </row>
    <row r="80" spans="1:3" x14ac:dyDescent="0.5">
      <c r="A80" t="s">
        <v>1316</v>
      </c>
      <c r="B80" t="s">
        <v>1437</v>
      </c>
      <c r="C80" t="s">
        <v>753</v>
      </c>
    </row>
    <row r="81" spans="1:1" x14ac:dyDescent="0.5">
      <c r="A81" t="s">
        <v>1317</v>
      </c>
    </row>
    <row r="82" spans="1:1" x14ac:dyDescent="0.5">
      <c r="A82" t="s">
        <v>1318</v>
      </c>
    </row>
    <row r="83" spans="1:1" x14ac:dyDescent="0.5">
      <c r="A83" t="s">
        <v>1319</v>
      </c>
    </row>
    <row r="84" spans="1:1" x14ac:dyDescent="0.5">
      <c r="A84" t="s">
        <v>1320</v>
      </c>
    </row>
    <row r="85" spans="1:1" x14ac:dyDescent="0.5">
      <c r="A85" t="s">
        <v>1321</v>
      </c>
    </row>
    <row r="86" spans="1:1" x14ac:dyDescent="0.5">
      <c r="A86" t="s">
        <v>1322</v>
      </c>
    </row>
    <row r="87" spans="1:1" x14ac:dyDescent="0.5">
      <c r="A87" t="s">
        <v>1323</v>
      </c>
    </row>
    <row r="88" spans="1:1" x14ac:dyDescent="0.5">
      <c r="A88" t="s">
        <v>1324</v>
      </c>
    </row>
    <row r="89" spans="1:1" x14ac:dyDescent="0.5">
      <c r="A89" t="s">
        <v>1325</v>
      </c>
    </row>
    <row r="90" spans="1:1" x14ac:dyDescent="0.5">
      <c r="A90" t="s">
        <v>1326</v>
      </c>
    </row>
    <row r="91" spans="1:1" x14ac:dyDescent="0.5">
      <c r="A91" t="s">
        <v>1327</v>
      </c>
    </row>
    <row r="92" spans="1:1" x14ac:dyDescent="0.5">
      <c r="A92" t="s">
        <v>1328</v>
      </c>
    </row>
    <row r="93" spans="1:1" x14ac:dyDescent="0.5">
      <c r="A93" t="s">
        <v>1329</v>
      </c>
    </row>
    <row r="94" spans="1:1" x14ac:dyDescent="0.5">
      <c r="A94" t="s">
        <v>1330</v>
      </c>
    </row>
    <row r="95" spans="1:1" x14ac:dyDescent="0.5">
      <c r="A95" t="s">
        <v>1331</v>
      </c>
    </row>
    <row r="96" spans="1:1" x14ac:dyDescent="0.5">
      <c r="A96" t="s">
        <v>1332</v>
      </c>
    </row>
    <row r="97" spans="1:4" x14ac:dyDescent="0.5">
      <c r="A97" t="s">
        <v>1333</v>
      </c>
    </row>
    <row r="98" spans="1:4" x14ac:dyDescent="0.5">
      <c r="A98" t="s">
        <v>1334</v>
      </c>
    </row>
    <row r="99" spans="1:4" x14ac:dyDescent="0.5">
      <c r="A99" t="s">
        <v>1335</v>
      </c>
    </row>
    <row r="100" spans="1:4" x14ac:dyDescent="0.5">
      <c r="A100" t="s">
        <v>1336</v>
      </c>
    </row>
    <row r="101" spans="1:4" x14ac:dyDescent="0.5">
      <c r="A101" t="s">
        <v>1337</v>
      </c>
    </row>
    <row r="102" spans="1:4" x14ac:dyDescent="0.5">
      <c r="A102" t="s">
        <v>1338</v>
      </c>
    </row>
    <row r="103" spans="1:4" x14ac:dyDescent="0.5">
      <c r="A103" t="s">
        <v>1339</v>
      </c>
    </row>
    <row r="104" spans="1:4" x14ac:dyDescent="0.5">
      <c r="A104" t="s">
        <v>1340</v>
      </c>
      <c r="B104" t="s">
        <v>1430</v>
      </c>
    </row>
    <row r="105" spans="1:4" x14ac:dyDescent="0.5">
      <c r="A105" t="s">
        <v>1341</v>
      </c>
      <c r="B105" t="s">
        <v>1422</v>
      </c>
    </row>
    <row r="106" spans="1:4" x14ac:dyDescent="0.5">
      <c r="A106" t="s">
        <v>1342</v>
      </c>
      <c r="B106" t="s">
        <v>2113</v>
      </c>
      <c r="D106">
        <v>94</v>
      </c>
    </row>
    <row r="107" spans="1:4" x14ac:dyDescent="0.5">
      <c r="A107" t="s">
        <v>1343</v>
      </c>
      <c r="B107" t="s">
        <v>2113</v>
      </c>
      <c r="D107">
        <v>55</v>
      </c>
    </row>
    <row r="108" spans="1:4" x14ac:dyDescent="0.5">
      <c r="A108" t="s">
        <v>1344</v>
      </c>
    </row>
    <row r="109" spans="1:4" x14ac:dyDescent="0.5">
      <c r="A109" t="s">
        <v>1345</v>
      </c>
    </row>
    <row r="110" spans="1:4" x14ac:dyDescent="0.5">
      <c r="A110" t="s">
        <v>1346</v>
      </c>
    </row>
    <row r="111" spans="1:4" x14ac:dyDescent="0.5">
      <c r="A111" t="s">
        <v>1347</v>
      </c>
      <c r="B111" t="s">
        <v>2113</v>
      </c>
      <c r="D111">
        <v>70</v>
      </c>
    </row>
    <row r="112" spans="1:4" x14ac:dyDescent="0.5">
      <c r="A112" t="s">
        <v>1348</v>
      </c>
    </row>
    <row r="113" spans="1:3" x14ac:dyDescent="0.5">
      <c r="A113" t="s">
        <v>1349</v>
      </c>
    </row>
    <row r="114" spans="1:3" x14ac:dyDescent="0.5">
      <c r="A114" t="s">
        <v>1350</v>
      </c>
    </row>
    <row r="115" spans="1:3" x14ac:dyDescent="0.5">
      <c r="A115" t="s">
        <v>1351</v>
      </c>
    </row>
    <row r="116" spans="1:3" x14ac:dyDescent="0.5">
      <c r="A116" t="s">
        <v>1352</v>
      </c>
    </row>
    <row r="117" spans="1:3" x14ac:dyDescent="0.5">
      <c r="A117" t="s">
        <v>1353</v>
      </c>
    </row>
    <row r="118" spans="1:3" x14ac:dyDescent="0.5">
      <c r="A118" t="s">
        <v>1354</v>
      </c>
    </row>
    <row r="119" spans="1:3" x14ac:dyDescent="0.5">
      <c r="A119" t="s">
        <v>1355</v>
      </c>
    </row>
    <row r="120" spans="1:3" x14ac:dyDescent="0.5">
      <c r="A120" t="s">
        <v>1356</v>
      </c>
    </row>
    <row r="121" spans="1:3" x14ac:dyDescent="0.5">
      <c r="A121" t="s">
        <v>1357</v>
      </c>
      <c r="B121" t="s">
        <v>1436</v>
      </c>
      <c r="C121" t="s">
        <v>2234</v>
      </c>
    </row>
    <row r="122" spans="1:3" x14ac:dyDescent="0.5">
      <c r="A122" t="s">
        <v>1358</v>
      </c>
    </row>
    <row r="123" spans="1:3" x14ac:dyDescent="0.5">
      <c r="A123" t="s">
        <v>1359</v>
      </c>
    </row>
    <row r="124" spans="1:3" x14ac:dyDescent="0.5">
      <c r="A124" t="s">
        <v>1360</v>
      </c>
    </row>
    <row r="125" spans="1:3" x14ac:dyDescent="0.5">
      <c r="A125" t="s">
        <v>1361</v>
      </c>
    </row>
    <row r="126" spans="1:3" x14ac:dyDescent="0.5">
      <c r="A126" t="s">
        <v>1362</v>
      </c>
    </row>
    <row r="127" spans="1:3" x14ac:dyDescent="0.5">
      <c r="A127" t="s">
        <v>1363</v>
      </c>
    </row>
    <row r="128" spans="1:3" x14ac:dyDescent="0.5">
      <c r="A128" t="s">
        <v>1364</v>
      </c>
    </row>
    <row r="129" spans="1:1" x14ac:dyDescent="0.5">
      <c r="A129" t="s">
        <v>1365</v>
      </c>
    </row>
    <row r="130" spans="1:1" x14ac:dyDescent="0.5">
      <c r="A130" t="s">
        <v>1366</v>
      </c>
    </row>
    <row r="131" spans="1:1" x14ac:dyDescent="0.5">
      <c r="A131" t="s">
        <v>1367</v>
      </c>
    </row>
    <row r="132" spans="1:1" x14ac:dyDescent="0.5">
      <c r="A132" t="s">
        <v>1368</v>
      </c>
    </row>
    <row r="133" spans="1:1" x14ac:dyDescent="0.5">
      <c r="A133" t="s">
        <v>1369</v>
      </c>
    </row>
    <row r="134" spans="1:1" x14ac:dyDescent="0.5">
      <c r="A134" t="s">
        <v>1370</v>
      </c>
    </row>
    <row r="135" spans="1:1" x14ac:dyDescent="0.5">
      <c r="A135" t="s">
        <v>1371</v>
      </c>
    </row>
    <row r="136" spans="1:1" x14ac:dyDescent="0.5">
      <c r="A136" t="s">
        <v>1372</v>
      </c>
    </row>
    <row r="137" spans="1:1" x14ac:dyDescent="0.5">
      <c r="A137" t="s">
        <v>1373</v>
      </c>
    </row>
    <row r="138" spans="1:1" x14ac:dyDescent="0.5">
      <c r="A138" t="s">
        <v>1374</v>
      </c>
    </row>
    <row r="139" spans="1:1" x14ac:dyDescent="0.5">
      <c r="A139" t="s">
        <v>1375</v>
      </c>
    </row>
    <row r="140" spans="1:1" x14ac:dyDescent="0.5">
      <c r="A140" t="s">
        <v>1376</v>
      </c>
    </row>
    <row r="141" spans="1:1" x14ac:dyDescent="0.5">
      <c r="A141" t="s">
        <v>1377</v>
      </c>
    </row>
    <row r="142" spans="1:1" x14ac:dyDescent="0.5">
      <c r="A142" t="s">
        <v>1378</v>
      </c>
    </row>
    <row r="143" spans="1:1" x14ac:dyDescent="0.5">
      <c r="A143" t="s">
        <v>1379</v>
      </c>
    </row>
    <row r="144" spans="1:1" x14ac:dyDescent="0.5">
      <c r="A144" t="s">
        <v>1380</v>
      </c>
    </row>
    <row r="145" spans="1:1" x14ac:dyDescent="0.5">
      <c r="A145" t="s">
        <v>1381</v>
      </c>
    </row>
    <row r="146" spans="1:1" x14ac:dyDescent="0.5">
      <c r="A146" t="s">
        <v>1382</v>
      </c>
    </row>
    <row r="147" spans="1:1" x14ac:dyDescent="0.5">
      <c r="A147" t="s">
        <v>1383</v>
      </c>
    </row>
    <row r="148" spans="1:1" x14ac:dyDescent="0.5">
      <c r="A148" t="s">
        <v>1384</v>
      </c>
    </row>
    <row r="149" spans="1:1" x14ac:dyDescent="0.5">
      <c r="A149" t="s">
        <v>1385</v>
      </c>
    </row>
    <row r="150" spans="1:1" x14ac:dyDescent="0.5">
      <c r="A150" t="s">
        <v>1386</v>
      </c>
    </row>
    <row r="151" spans="1:1" x14ac:dyDescent="0.5">
      <c r="A151" t="s">
        <v>1387</v>
      </c>
    </row>
    <row r="152" spans="1:1" x14ac:dyDescent="0.5">
      <c r="A152" t="s">
        <v>1388</v>
      </c>
    </row>
    <row r="153" spans="1:1" x14ac:dyDescent="0.5">
      <c r="A153" t="s">
        <v>1389</v>
      </c>
    </row>
    <row r="154" spans="1:1" x14ac:dyDescent="0.5">
      <c r="A154" t="s">
        <v>1390</v>
      </c>
    </row>
    <row r="155" spans="1:1" x14ac:dyDescent="0.5">
      <c r="A155" t="s">
        <v>1391</v>
      </c>
    </row>
    <row r="156" spans="1:1" x14ac:dyDescent="0.5">
      <c r="A156" t="s">
        <v>1392</v>
      </c>
    </row>
    <row r="157" spans="1:1" x14ac:dyDescent="0.5">
      <c r="A157" t="s">
        <v>1393</v>
      </c>
    </row>
    <row r="158" spans="1:1" x14ac:dyDescent="0.5">
      <c r="A158" t="s">
        <v>1394</v>
      </c>
    </row>
    <row r="159" spans="1:1" x14ac:dyDescent="0.5">
      <c r="A159" t="s">
        <v>1395</v>
      </c>
    </row>
    <row r="160" spans="1:1" x14ac:dyDescent="0.5">
      <c r="A160" t="s">
        <v>1396</v>
      </c>
    </row>
    <row r="161" spans="1:1" x14ac:dyDescent="0.5">
      <c r="A161" t="s">
        <v>1397</v>
      </c>
    </row>
    <row r="162" spans="1:1" x14ac:dyDescent="0.5">
      <c r="A162" t="s">
        <v>1398</v>
      </c>
    </row>
    <row r="163" spans="1:1" x14ac:dyDescent="0.5">
      <c r="A163" t="s">
        <v>1399</v>
      </c>
    </row>
    <row r="164" spans="1:1" x14ac:dyDescent="0.5">
      <c r="A164" t="s">
        <v>1400</v>
      </c>
    </row>
    <row r="165" spans="1:1" x14ac:dyDescent="0.5">
      <c r="A165" t="s">
        <v>1401</v>
      </c>
    </row>
    <row r="166" spans="1:1" x14ac:dyDescent="0.5">
      <c r="A166" t="s">
        <v>1402</v>
      </c>
    </row>
    <row r="167" spans="1:1" x14ac:dyDescent="0.5">
      <c r="A167" t="s">
        <v>1403</v>
      </c>
    </row>
    <row r="168" spans="1:1" x14ac:dyDescent="0.5">
      <c r="A168" t="s">
        <v>1404</v>
      </c>
    </row>
    <row r="169" spans="1:1" x14ac:dyDescent="0.5">
      <c r="A169" t="s">
        <v>1405</v>
      </c>
    </row>
    <row r="170" spans="1:1" x14ac:dyDescent="0.5">
      <c r="A170" t="s">
        <v>1406</v>
      </c>
    </row>
    <row r="171" spans="1:1" x14ac:dyDescent="0.5">
      <c r="A171" t="s">
        <v>1407</v>
      </c>
    </row>
    <row r="172" spans="1:1" x14ac:dyDescent="0.5">
      <c r="A172" t="s">
        <v>1408</v>
      </c>
    </row>
    <row r="173" spans="1:1" x14ac:dyDescent="0.5">
      <c r="A173" t="s">
        <v>1409</v>
      </c>
    </row>
    <row r="174" spans="1:1" x14ac:dyDescent="0.5">
      <c r="A174" t="s">
        <v>1410</v>
      </c>
    </row>
    <row r="175" spans="1:1" x14ac:dyDescent="0.5">
      <c r="A175" t="s">
        <v>1411</v>
      </c>
    </row>
    <row r="176" spans="1:1" x14ac:dyDescent="0.5">
      <c r="A176" t="s">
        <v>1412</v>
      </c>
    </row>
    <row r="177" spans="1:1" x14ac:dyDescent="0.5">
      <c r="A177" t="s">
        <v>1413</v>
      </c>
    </row>
    <row r="178" spans="1:1" x14ac:dyDescent="0.5">
      <c r="A178" t="s">
        <v>1414</v>
      </c>
    </row>
    <row r="179" spans="1:1" x14ac:dyDescent="0.5">
      <c r="A179" t="s">
        <v>1415</v>
      </c>
    </row>
    <row r="180" spans="1:1" x14ac:dyDescent="0.5">
      <c r="A180" t="s">
        <v>1416</v>
      </c>
    </row>
    <row r="181" spans="1:1" x14ac:dyDescent="0.5">
      <c r="A181" t="s">
        <v>1417</v>
      </c>
    </row>
    <row r="182" spans="1:1" x14ac:dyDescent="0.5">
      <c r="A182" t="s">
        <v>1418</v>
      </c>
    </row>
    <row r="183" spans="1:1" x14ac:dyDescent="0.5">
      <c r="A183" t="s">
        <v>1419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2209-5FE7-46B7-81AE-E049DF65FFFD}">
  <dimension ref="A1:B251"/>
  <sheetViews>
    <sheetView tabSelected="1" topLeftCell="A99" workbookViewId="0">
      <selection activeCell="B119" sqref="B119"/>
    </sheetView>
  </sheetViews>
  <sheetFormatPr defaultRowHeight="15.75" x14ac:dyDescent="0.5"/>
  <sheetData>
    <row r="1" spans="1:2" x14ac:dyDescent="0.5">
      <c r="A1" t="s">
        <v>2267</v>
      </c>
      <c r="B1" t="s">
        <v>2268</v>
      </c>
    </row>
    <row r="2" spans="1:2" x14ac:dyDescent="0.5">
      <c r="A2" t="s">
        <v>121</v>
      </c>
      <c r="B2" t="s">
        <v>2238</v>
      </c>
    </row>
    <row r="3" spans="1:2" x14ac:dyDescent="0.5">
      <c r="A3" t="s">
        <v>2239</v>
      </c>
      <c r="B3" t="s">
        <v>2238</v>
      </c>
    </row>
    <row r="4" spans="1:2" x14ac:dyDescent="0.5">
      <c r="A4" t="s">
        <v>186</v>
      </c>
      <c r="B4" t="s">
        <v>2238</v>
      </c>
    </row>
    <row r="5" spans="1:2" x14ac:dyDescent="0.5">
      <c r="A5" t="s">
        <v>159</v>
      </c>
      <c r="B5" t="s">
        <v>2238</v>
      </c>
    </row>
    <row r="6" spans="1:2" x14ac:dyDescent="0.5">
      <c r="A6" t="s">
        <v>184</v>
      </c>
      <c r="B6" t="s">
        <v>2238</v>
      </c>
    </row>
    <row r="7" spans="1:2" x14ac:dyDescent="0.5">
      <c r="A7" t="s">
        <v>170</v>
      </c>
      <c r="B7" t="s">
        <v>2238</v>
      </c>
    </row>
    <row r="8" spans="1:2" x14ac:dyDescent="0.5">
      <c r="A8" t="s">
        <v>199</v>
      </c>
      <c r="B8" t="s">
        <v>2238</v>
      </c>
    </row>
    <row r="9" spans="1:2" x14ac:dyDescent="0.5">
      <c r="A9" t="s">
        <v>221</v>
      </c>
      <c r="B9" t="s">
        <v>2238</v>
      </c>
    </row>
    <row r="10" spans="1:2" x14ac:dyDescent="0.5">
      <c r="A10" t="s">
        <v>190</v>
      </c>
      <c r="B10" t="s">
        <v>2238</v>
      </c>
    </row>
    <row r="11" spans="1:2" x14ac:dyDescent="0.5">
      <c r="A11" t="s">
        <v>234</v>
      </c>
      <c r="B11" t="s">
        <v>2238</v>
      </c>
    </row>
    <row r="12" spans="1:2" x14ac:dyDescent="0.5">
      <c r="A12" t="s">
        <v>215</v>
      </c>
      <c r="B12" t="s">
        <v>2238</v>
      </c>
    </row>
    <row r="13" spans="1:2" x14ac:dyDescent="0.5">
      <c r="A13" t="s">
        <v>213</v>
      </c>
      <c r="B13" t="s">
        <v>2238</v>
      </c>
    </row>
    <row r="14" spans="1:2" x14ac:dyDescent="0.5">
      <c r="A14" t="s">
        <v>194</v>
      </c>
      <c r="B14" t="s">
        <v>2238</v>
      </c>
    </row>
    <row r="15" spans="1:2" x14ac:dyDescent="0.5">
      <c r="A15" t="s">
        <v>238</v>
      </c>
      <c r="B15" t="s">
        <v>2238</v>
      </c>
    </row>
    <row r="16" spans="1:2" x14ac:dyDescent="0.5">
      <c r="A16" t="s">
        <v>115</v>
      </c>
      <c r="B16" t="s">
        <v>2238</v>
      </c>
    </row>
    <row r="17" spans="1:2" x14ac:dyDescent="0.5">
      <c r="A17" t="s">
        <v>248</v>
      </c>
      <c r="B17" t="s">
        <v>2238</v>
      </c>
    </row>
    <row r="18" spans="1:2" x14ac:dyDescent="0.5">
      <c r="A18" t="s">
        <v>254</v>
      </c>
      <c r="B18" t="s">
        <v>2238</v>
      </c>
    </row>
    <row r="19" spans="1:2" x14ac:dyDescent="0.5">
      <c r="A19" t="s">
        <v>633</v>
      </c>
      <c r="B19" t="s">
        <v>2238</v>
      </c>
    </row>
    <row r="20" spans="1:2" x14ac:dyDescent="0.5">
      <c r="A20" t="s">
        <v>260</v>
      </c>
      <c r="B20" t="s">
        <v>2238</v>
      </c>
    </row>
    <row r="21" spans="1:2" x14ac:dyDescent="0.5">
      <c r="A21" t="s">
        <v>302</v>
      </c>
      <c r="B21" t="s">
        <v>2238</v>
      </c>
    </row>
    <row r="22" spans="1:2" x14ac:dyDescent="0.5">
      <c r="A22" t="s">
        <v>310</v>
      </c>
      <c r="B22" t="s">
        <v>2238</v>
      </c>
    </row>
    <row r="23" spans="1:2" x14ac:dyDescent="0.5">
      <c r="A23" t="s">
        <v>327</v>
      </c>
      <c r="B23" t="s">
        <v>2238</v>
      </c>
    </row>
    <row r="24" spans="1:2" x14ac:dyDescent="0.5">
      <c r="A24" t="s">
        <v>304</v>
      </c>
      <c r="B24" t="s">
        <v>2238</v>
      </c>
    </row>
    <row r="25" spans="1:2" x14ac:dyDescent="0.5">
      <c r="A25" t="s">
        <v>329</v>
      </c>
      <c r="B25" t="s">
        <v>2238</v>
      </c>
    </row>
    <row r="26" spans="1:2" x14ac:dyDescent="0.5">
      <c r="A26" t="s">
        <v>252</v>
      </c>
      <c r="B26" t="s">
        <v>2238</v>
      </c>
    </row>
    <row r="27" spans="1:2" x14ac:dyDescent="0.5">
      <c r="A27" t="s">
        <v>2240</v>
      </c>
      <c r="B27" t="s">
        <v>2238</v>
      </c>
    </row>
    <row r="28" spans="1:2" x14ac:dyDescent="0.5">
      <c r="A28" t="s">
        <v>369</v>
      </c>
      <c r="B28" t="s">
        <v>2238</v>
      </c>
    </row>
    <row r="29" spans="1:2" x14ac:dyDescent="0.5">
      <c r="A29" t="s">
        <v>387</v>
      </c>
      <c r="B29" t="s">
        <v>2238</v>
      </c>
    </row>
    <row r="30" spans="1:2" x14ac:dyDescent="0.5">
      <c r="A30" t="s">
        <v>389</v>
      </c>
      <c r="B30" t="s">
        <v>2238</v>
      </c>
    </row>
    <row r="31" spans="1:2" x14ac:dyDescent="0.5">
      <c r="A31" t="s">
        <v>385</v>
      </c>
      <c r="B31" t="s">
        <v>2238</v>
      </c>
    </row>
    <row r="32" spans="1:2" x14ac:dyDescent="0.5">
      <c r="A32" t="s">
        <v>431</v>
      </c>
      <c r="B32" t="s">
        <v>2238</v>
      </c>
    </row>
    <row r="33" spans="1:2" x14ac:dyDescent="0.5">
      <c r="A33" t="s">
        <v>397</v>
      </c>
      <c r="B33" t="s">
        <v>2238</v>
      </c>
    </row>
    <row r="34" spans="1:2" x14ac:dyDescent="0.5">
      <c r="A34" t="s">
        <v>405</v>
      </c>
      <c r="B34" t="s">
        <v>2238</v>
      </c>
    </row>
    <row r="35" spans="1:2" x14ac:dyDescent="0.5">
      <c r="A35" t="s">
        <v>433</v>
      </c>
      <c r="B35" t="s">
        <v>2238</v>
      </c>
    </row>
    <row r="36" spans="1:2" x14ac:dyDescent="0.5">
      <c r="A36" t="s">
        <v>413</v>
      </c>
      <c r="B36" t="s">
        <v>2238</v>
      </c>
    </row>
    <row r="37" spans="1:2" x14ac:dyDescent="0.5">
      <c r="A37" t="s">
        <v>415</v>
      </c>
      <c r="B37" t="s">
        <v>2238</v>
      </c>
    </row>
    <row r="38" spans="1:2" x14ac:dyDescent="0.5">
      <c r="A38" t="s">
        <v>399</v>
      </c>
      <c r="B38" t="s">
        <v>2238</v>
      </c>
    </row>
    <row r="39" spans="1:2" x14ac:dyDescent="0.5">
      <c r="A39" t="s">
        <v>417</v>
      </c>
      <c r="B39" t="s">
        <v>2238</v>
      </c>
    </row>
    <row r="40" spans="1:2" x14ac:dyDescent="0.5">
      <c r="A40" t="s">
        <v>437</v>
      </c>
      <c r="B40" t="s">
        <v>2238</v>
      </c>
    </row>
    <row r="41" spans="1:2" x14ac:dyDescent="0.5">
      <c r="A41" t="s">
        <v>453</v>
      </c>
      <c r="B41" t="s">
        <v>2238</v>
      </c>
    </row>
    <row r="42" spans="1:2" x14ac:dyDescent="0.5">
      <c r="A42" t="s">
        <v>455</v>
      </c>
      <c r="B42" t="s">
        <v>2238</v>
      </c>
    </row>
    <row r="43" spans="1:2" x14ac:dyDescent="0.5">
      <c r="A43" t="s">
        <v>501</v>
      </c>
      <c r="B43" t="s">
        <v>2238</v>
      </c>
    </row>
    <row r="44" spans="1:2" x14ac:dyDescent="0.5">
      <c r="A44" t="s">
        <v>507</v>
      </c>
      <c r="B44" t="s">
        <v>2238</v>
      </c>
    </row>
    <row r="45" spans="1:2" x14ac:dyDescent="0.5">
      <c r="A45" t="s">
        <v>567</v>
      </c>
      <c r="B45" t="s">
        <v>2238</v>
      </c>
    </row>
    <row r="46" spans="1:2" x14ac:dyDescent="0.5">
      <c r="A46" t="s">
        <v>533</v>
      </c>
      <c r="B46" t="s">
        <v>2238</v>
      </c>
    </row>
    <row r="47" spans="1:2" x14ac:dyDescent="0.5">
      <c r="A47" t="s">
        <v>511</v>
      </c>
      <c r="B47" t="s">
        <v>2238</v>
      </c>
    </row>
    <row r="48" spans="1:2" x14ac:dyDescent="0.5">
      <c r="A48" t="s">
        <v>539</v>
      </c>
      <c r="B48" t="s">
        <v>2238</v>
      </c>
    </row>
    <row r="49" spans="1:2" x14ac:dyDescent="0.5">
      <c r="A49" t="s">
        <v>551</v>
      </c>
      <c r="B49" t="s">
        <v>2238</v>
      </c>
    </row>
    <row r="50" spans="1:2" x14ac:dyDescent="0.5">
      <c r="A50" t="s">
        <v>557</v>
      </c>
      <c r="B50" t="s">
        <v>2238</v>
      </c>
    </row>
    <row r="51" spans="1:2" x14ac:dyDescent="0.5">
      <c r="A51" t="s">
        <v>528</v>
      </c>
      <c r="B51" t="s">
        <v>2238</v>
      </c>
    </row>
    <row r="52" spans="1:2" x14ac:dyDescent="0.5">
      <c r="A52" t="s">
        <v>258</v>
      </c>
      <c r="B52" t="s">
        <v>2238</v>
      </c>
    </row>
    <row r="53" spans="1:2" x14ac:dyDescent="0.5">
      <c r="A53" t="s">
        <v>537</v>
      </c>
      <c r="B53" t="s">
        <v>2238</v>
      </c>
    </row>
    <row r="54" spans="1:2" x14ac:dyDescent="0.5">
      <c r="A54" t="s">
        <v>201</v>
      </c>
      <c r="B54" t="s">
        <v>2238</v>
      </c>
    </row>
    <row r="55" spans="1:2" x14ac:dyDescent="0.5">
      <c r="A55" t="s">
        <v>586</v>
      </c>
      <c r="B55" t="s">
        <v>2238</v>
      </c>
    </row>
    <row r="56" spans="1:2" x14ac:dyDescent="0.5">
      <c r="A56" t="s">
        <v>594</v>
      </c>
      <c r="B56" t="s">
        <v>2238</v>
      </c>
    </row>
    <row r="57" spans="1:2" x14ac:dyDescent="0.5">
      <c r="A57" t="s">
        <v>580</v>
      </c>
      <c r="B57" t="s">
        <v>2238</v>
      </c>
    </row>
    <row r="58" spans="1:2" x14ac:dyDescent="0.5">
      <c r="A58" t="s">
        <v>604</v>
      </c>
      <c r="B58" t="s">
        <v>2238</v>
      </c>
    </row>
    <row r="59" spans="1:2" x14ac:dyDescent="0.5">
      <c r="A59" t="s">
        <v>553</v>
      </c>
      <c r="B59" t="s">
        <v>2238</v>
      </c>
    </row>
    <row r="60" spans="1:2" x14ac:dyDescent="0.5">
      <c r="A60" t="s">
        <v>638</v>
      </c>
      <c r="B60" t="s">
        <v>2238</v>
      </c>
    </row>
    <row r="61" spans="1:2" x14ac:dyDescent="0.5">
      <c r="A61" t="s">
        <v>640</v>
      </c>
      <c r="B61" t="s">
        <v>2238</v>
      </c>
    </row>
    <row r="62" spans="1:2" x14ac:dyDescent="0.5">
      <c r="A62" t="s">
        <v>205</v>
      </c>
      <c r="B62" t="s">
        <v>2241</v>
      </c>
    </row>
    <row r="63" spans="1:2" x14ac:dyDescent="0.5">
      <c r="A63" t="s">
        <v>642</v>
      </c>
      <c r="B63" t="s">
        <v>2241</v>
      </c>
    </row>
    <row r="64" spans="1:2" x14ac:dyDescent="0.5">
      <c r="A64" t="s">
        <v>496</v>
      </c>
      <c r="B64" t="s">
        <v>2241</v>
      </c>
    </row>
    <row r="65" spans="1:2" x14ac:dyDescent="0.5">
      <c r="A65" t="s">
        <v>643</v>
      </c>
      <c r="B65" t="s">
        <v>2241</v>
      </c>
    </row>
    <row r="66" spans="1:2" x14ac:dyDescent="0.5">
      <c r="A66" t="s">
        <v>425</v>
      </c>
      <c r="B66" t="s">
        <v>2241</v>
      </c>
    </row>
    <row r="67" spans="1:2" x14ac:dyDescent="0.5">
      <c r="A67" t="s">
        <v>232</v>
      </c>
      <c r="B67" t="s">
        <v>2241</v>
      </c>
    </row>
    <row r="68" spans="1:2" x14ac:dyDescent="0.5">
      <c r="A68" t="s">
        <v>1462</v>
      </c>
      <c r="B68" t="s">
        <v>2241</v>
      </c>
    </row>
    <row r="69" spans="1:2" x14ac:dyDescent="0.5">
      <c r="A69" t="s">
        <v>2242</v>
      </c>
      <c r="B69" t="s">
        <v>2243</v>
      </c>
    </row>
    <row r="70" spans="1:2" x14ac:dyDescent="0.5">
      <c r="A70" t="s">
        <v>113</v>
      </c>
      <c r="B70" t="s">
        <v>2243</v>
      </c>
    </row>
    <row r="71" spans="1:2" x14ac:dyDescent="0.5">
      <c r="A71" t="s">
        <v>119</v>
      </c>
      <c r="B71" t="s">
        <v>2243</v>
      </c>
    </row>
    <row r="72" spans="1:2" x14ac:dyDescent="0.5">
      <c r="A72" t="s">
        <v>140</v>
      </c>
      <c r="B72" t="s">
        <v>2243</v>
      </c>
    </row>
    <row r="73" spans="1:2" x14ac:dyDescent="0.5">
      <c r="A73" t="s">
        <v>154</v>
      </c>
      <c r="B73" t="s">
        <v>2243</v>
      </c>
    </row>
    <row r="74" spans="1:2" x14ac:dyDescent="0.5">
      <c r="A74" t="s">
        <v>181</v>
      </c>
      <c r="B74" t="s">
        <v>2243</v>
      </c>
    </row>
    <row r="75" spans="1:2" x14ac:dyDescent="0.5">
      <c r="A75" t="s">
        <v>168</v>
      </c>
      <c r="B75" t="s">
        <v>2243</v>
      </c>
    </row>
    <row r="76" spans="1:2" x14ac:dyDescent="0.5">
      <c r="A76" t="s">
        <v>574</v>
      </c>
      <c r="B76" t="s">
        <v>2243</v>
      </c>
    </row>
    <row r="77" spans="1:2" x14ac:dyDescent="0.5">
      <c r="A77" t="s">
        <v>228</v>
      </c>
      <c r="B77" t="s">
        <v>2243</v>
      </c>
    </row>
    <row r="78" spans="1:2" x14ac:dyDescent="0.5">
      <c r="A78" t="s">
        <v>230</v>
      </c>
      <c r="B78" t="s">
        <v>2243</v>
      </c>
    </row>
    <row r="79" spans="1:2" x14ac:dyDescent="0.5">
      <c r="A79" t="s">
        <v>308</v>
      </c>
      <c r="B79" t="s">
        <v>2243</v>
      </c>
    </row>
    <row r="80" spans="1:2" x14ac:dyDescent="0.5">
      <c r="A80" t="s">
        <v>236</v>
      </c>
      <c r="B80" t="s">
        <v>2243</v>
      </c>
    </row>
    <row r="81" spans="1:2" x14ac:dyDescent="0.5">
      <c r="A81" t="s">
        <v>560</v>
      </c>
      <c r="B81" t="s">
        <v>2243</v>
      </c>
    </row>
    <row r="82" spans="1:2" x14ac:dyDescent="0.5">
      <c r="A82" t="s">
        <v>256</v>
      </c>
      <c r="B82" t="s">
        <v>2243</v>
      </c>
    </row>
    <row r="83" spans="1:2" x14ac:dyDescent="0.5">
      <c r="A83" t="s">
        <v>271</v>
      </c>
      <c r="B83" t="s">
        <v>2243</v>
      </c>
    </row>
    <row r="84" spans="1:2" x14ac:dyDescent="0.5">
      <c r="A84" t="s">
        <v>293</v>
      </c>
      <c r="B84" t="s">
        <v>2243</v>
      </c>
    </row>
    <row r="85" spans="1:2" x14ac:dyDescent="0.5">
      <c r="A85" t="s">
        <v>265</v>
      </c>
      <c r="B85" t="s">
        <v>2243</v>
      </c>
    </row>
    <row r="86" spans="1:2" x14ac:dyDescent="0.5">
      <c r="A86" t="s">
        <v>610</v>
      </c>
      <c r="B86" t="s">
        <v>2243</v>
      </c>
    </row>
    <row r="87" spans="1:2" x14ac:dyDescent="0.5">
      <c r="A87" t="s">
        <v>2244</v>
      </c>
      <c r="B87" t="s">
        <v>2243</v>
      </c>
    </row>
    <row r="88" spans="1:2" x14ac:dyDescent="0.5">
      <c r="A88" t="s">
        <v>312</v>
      </c>
      <c r="B88" t="s">
        <v>2243</v>
      </c>
    </row>
    <row r="89" spans="1:2" x14ac:dyDescent="0.5">
      <c r="A89" t="s">
        <v>314</v>
      </c>
      <c r="B89" t="s">
        <v>2243</v>
      </c>
    </row>
    <row r="90" spans="1:2" x14ac:dyDescent="0.5">
      <c r="A90" t="s">
        <v>223</v>
      </c>
      <c r="B90" t="s">
        <v>2243</v>
      </c>
    </row>
    <row r="91" spans="1:2" x14ac:dyDescent="0.5">
      <c r="A91" t="s">
        <v>339</v>
      </c>
      <c r="B91" t="s">
        <v>2243</v>
      </c>
    </row>
    <row r="92" spans="1:2" x14ac:dyDescent="0.5">
      <c r="A92" t="s">
        <v>354</v>
      </c>
      <c r="B92" t="s">
        <v>2243</v>
      </c>
    </row>
    <row r="93" spans="1:2" x14ac:dyDescent="0.5">
      <c r="A93" t="s">
        <v>352</v>
      </c>
      <c r="B93" t="s">
        <v>2243</v>
      </c>
    </row>
    <row r="94" spans="1:2" x14ac:dyDescent="0.5">
      <c r="A94" t="s">
        <v>341</v>
      </c>
      <c r="B94" t="s">
        <v>2243</v>
      </c>
    </row>
    <row r="95" spans="1:2" x14ac:dyDescent="0.5">
      <c r="A95" t="s">
        <v>358</v>
      </c>
      <c r="B95" t="s">
        <v>2243</v>
      </c>
    </row>
    <row r="96" spans="1:2" x14ac:dyDescent="0.5">
      <c r="A96" t="s">
        <v>2245</v>
      </c>
      <c r="B96" t="s">
        <v>2243</v>
      </c>
    </row>
    <row r="97" spans="1:2" x14ac:dyDescent="0.5">
      <c r="A97" t="s">
        <v>391</v>
      </c>
      <c r="B97" t="s">
        <v>2243</v>
      </c>
    </row>
    <row r="98" spans="1:2" x14ac:dyDescent="0.5">
      <c r="A98" t="s">
        <v>393</v>
      </c>
      <c r="B98" t="s">
        <v>2243</v>
      </c>
    </row>
    <row r="99" spans="1:2" x14ac:dyDescent="0.5">
      <c r="A99" t="s">
        <v>395</v>
      </c>
      <c r="B99" t="s">
        <v>2243</v>
      </c>
    </row>
    <row r="100" spans="1:2" x14ac:dyDescent="0.5">
      <c r="A100" t="s">
        <v>381</v>
      </c>
      <c r="B100" t="s">
        <v>2243</v>
      </c>
    </row>
    <row r="101" spans="1:2" x14ac:dyDescent="0.5">
      <c r="A101" t="s">
        <v>423</v>
      </c>
      <c r="B101" t="s">
        <v>2243</v>
      </c>
    </row>
    <row r="102" spans="1:2" x14ac:dyDescent="0.5">
      <c r="A102" t="s">
        <v>460</v>
      </c>
      <c r="B102" t="s">
        <v>2243</v>
      </c>
    </row>
    <row r="103" spans="1:2" x14ac:dyDescent="0.5">
      <c r="A103" t="s">
        <v>407</v>
      </c>
      <c r="B103" t="s">
        <v>2243</v>
      </c>
    </row>
    <row r="104" spans="1:2" x14ac:dyDescent="0.5">
      <c r="A104" t="s">
        <v>427</v>
      </c>
      <c r="B104" t="s">
        <v>2243</v>
      </c>
    </row>
    <row r="105" spans="1:2" x14ac:dyDescent="0.5">
      <c r="A105" t="s">
        <v>443</v>
      </c>
      <c r="B105" t="s">
        <v>2243</v>
      </c>
    </row>
    <row r="106" spans="1:2" x14ac:dyDescent="0.5">
      <c r="A106" t="s">
        <v>466</v>
      </c>
      <c r="B106" t="s">
        <v>2243</v>
      </c>
    </row>
    <row r="107" spans="1:2" x14ac:dyDescent="0.5">
      <c r="A107" t="s">
        <v>488</v>
      </c>
      <c r="B107" t="s">
        <v>2243</v>
      </c>
    </row>
    <row r="108" spans="1:2" x14ac:dyDescent="0.5">
      <c r="A108" t="s">
        <v>490</v>
      </c>
      <c r="B108" t="s">
        <v>2243</v>
      </c>
    </row>
    <row r="109" spans="1:2" x14ac:dyDescent="0.5">
      <c r="A109" t="s">
        <v>503</v>
      </c>
      <c r="B109" t="s">
        <v>2243</v>
      </c>
    </row>
    <row r="110" spans="1:2" x14ac:dyDescent="0.5">
      <c r="A110" t="s">
        <v>2246</v>
      </c>
      <c r="B110" t="s">
        <v>2243</v>
      </c>
    </row>
    <row r="111" spans="1:2" x14ac:dyDescent="0.5">
      <c r="A111" t="s">
        <v>526</v>
      </c>
      <c r="B111" t="s">
        <v>2243</v>
      </c>
    </row>
    <row r="112" spans="1:2" x14ac:dyDescent="0.5">
      <c r="A112" t="s">
        <v>535</v>
      </c>
      <c r="B112" t="s">
        <v>2243</v>
      </c>
    </row>
    <row r="113" spans="1:2" x14ac:dyDescent="0.5">
      <c r="A113" t="s">
        <v>545</v>
      </c>
      <c r="B113" t="s">
        <v>2243</v>
      </c>
    </row>
    <row r="114" spans="1:2" x14ac:dyDescent="0.5">
      <c r="A114" t="s">
        <v>547</v>
      </c>
      <c r="B114" t="s">
        <v>2243</v>
      </c>
    </row>
    <row r="115" spans="1:2" x14ac:dyDescent="0.5">
      <c r="A115" t="s">
        <v>572</v>
      </c>
      <c r="B115" t="s">
        <v>2243</v>
      </c>
    </row>
    <row r="116" spans="1:2" x14ac:dyDescent="0.5">
      <c r="A116" t="s">
        <v>596</v>
      </c>
      <c r="B116" t="s">
        <v>2243</v>
      </c>
    </row>
    <row r="117" spans="1:2" x14ac:dyDescent="0.5">
      <c r="A117" t="s">
        <v>1463</v>
      </c>
      <c r="B117" t="s">
        <v>2243</v>
      </c>
    </row>
    <row r="118" spans="1:2" x14ac:dyDescent="0.5">
      <c r="A118" t="s">
        <v>2422</v>
      </c>
      <c r="B118" t="s">
        <v>2243</v>
      </c>
    </row>
    <row r="119" spans="1:2" x14ac:dyDescent="0.5">
      <c r="A119" t="s">
        <v>108</v>
      </c>
      <c r="B119" t="s">
        <v>2247</v>
      </c>
    </row>
    <row r="120" spans="1:2" x14ac:dyDescent="0.5">
      <c r="A120" t="s">
        <v>148</v>
      </c>
      <c r="B120" t="s">
        <v>2247</v>
      </c>
    </row>
    <row r="121" spans="1:2" x14ac:dyDescent="0.5">
      <c r="A121" t="s">
        <v>163</v>
      </c>
      <c r="B121" t="s">
        <v>2247</v>
      </c>
    </row>
    <row r="122" spans="1:2" x14ac:dyDescent="0.5">
      <c r="A122" t="s">
        <v>343</v>
      </c>
      <c r="B122" t="s">
        <v>2247</v>
      </c>
    </row>
    <row r="123" spans="1:2" x14ac:dyDescent="0.5">
      <c r="A123" t="s">
        <v>563</v>
      </c>
      <c r="B123" t="s">
        <v>2247</v>
      </c>
    </row>
    <row r="124" spans="1:2" x14ac:dyDescent="0.5">
      <c r="A124" t="s">
        <v>403</v>
      </c>
      <c r="B124" t="s">
        <v>2247</v>
      </c>
    </row>
    <row r="125" spans="1:2" x14ac:dyDescent="0.5">
      <c r="A125" t="s">
        <v>441</v>
      </c>
      <c r="B125" t="s">
        <v>2247</v>
      </c>
    </row>
    <row r="126" spans="1:2" x14ac:dyDescent="0.5">
      <c r="A126" t="s">
        <v>472</v>
      </c>
      <c r="B126" t="s">
        <v>2247</v>
      </c>
    </row>
    <row r="127" spans="1:2" x14ac:dyDescent="0.5">
      <c r="A127" t="s">
        <v>134</v>
      </c>
      <c r="B127" t="s">
        <v>2248</v>
      </c>
    </row>
    <row r="128" spans="1:2" x14ac:dyDescent="0.5">
      <c r="A128" t="s">
        <v>123</v>
      </c>
      <c r="B128" t="s">
        <v>2248</v>
      </c>
    </row>
    <row r="129" spans="1:2" x14ac:dyDescent="0.5">
      <c r="A129" t="s">
        <v>1458</v>
      </c>
      <c r="B129" t="s">
        <v>2248</v>
      </c>
    </row>
    <row r="130" spans="1:2" x14ac:dyDescent="0.5">
      <c r="A130" t="s">
        <v>130</v>
      </c>
      <c r="B130" t="s">
        <v>2248</v>
      </c>
    </row>
    <row r="131" spans="1:2" x14ac:dyDescent="0.5">
      <c r="A131" t="s">
        <v>127</v>
      </c>
      <c r="B131" t="s">
        <v>2248</v>
      </c>
    </row>
    <row r="132" spans="1:2" x14ac:dyDescent="0.5">
      <c r="A132" t="s">
        <v>2249</v>
      </c>
      <c r="B132" t="s">
        <v>2248</v>
      </c>
    </row>
    <row r="133" spans="1:2" x14ac:dyDescent="0.5">
      <c r="A133" t="s">
        <v>144</v>
      </c>
      <c r="B133" t="s">
        <v>2248</v>
      </c>
    </row>
    <row r="134" spans="1:2" x14ac:dyDescent="0.5">
      <c r="A134" t="s">
        <v>2250</v>
      </c>
      <c r="B134" t="s">
        <v>2248</v>
      </c>
    </row>
    <row r="135" spans="1:2" x14ac:dyDescent="0.5">
      <c r="A135" t="s">
        <v>157</v>
      </c>
      <c r="B135" t="s">
        <v>2248</v>
      </c>
    </row>
    <row r="136" spans="1:2" x14ac:dyDescent="0.5">
      <c r="A136" t="s">
        <v>165</v>
      </c>
      <c r="B136" t="s">
        <v>2248</v>
      </c>
    </row>
    <row r="137" spans="1:2" x14ac:dyDescent="0.5">
      <c r="A137" t="s">
        <v>173</v>
      </c>
      <c r="B137" t="s">
        <v>2248</v>
      </c>
    </row>
    <row r="138" spans="1:2" x14ac:dyDescent="0.5">
      <c r="A138" t="s">
        <v>150</v>
      </c>
      <c r="B138" t="s">
        <v>2248</v>
      </c>
    </row>
    <row r="139" spans="1:2" x14ac:dyDescent="0.5">
      <c r="A139" t="s">
        <v>2251</v>
      </c>
      <c r="B139" t="s">
        <v>2248</v>
      </c>
    </row>
    <row r="140" spans="1:2" x14ac:dyDescent="0.5">
      <c r="A140" t="s">
        <v>203</v>
      </c>
      <c r="B140" t="s">
        <v>2248</v>
      </c>
    </row>
    <row r="141" spans="1:2" x14ac:dyDescent="0.5">
      <c r="A141" t="s">
        <v>211</v>
      </c>
      <c r="B141" t="s">
        <v>2248</v>
      </c>
    </row>
    <row r="142" spans="1:2" x14ac:dyDescent="0.5">
      <c r="A142" t="s">
        <v>219</v>
      </c>
      <c r="B142" t="s">
        <v>2248</v>
      </c>
    </row>
    <row r="143" spans="1:2" x14ac:dyDescent="0.5">
      <c r="A143" t="s">
        <v>225</v>
      </c>
      <c r="B143" t="s">
        <v>2248</v>
      </c>
    </row>
    <row r="144" spans="1:2" x14ac:dyDescent="0.5">
      <c r="A144" t="s">
        <v>2252</v>
      </c>
      <c r="B144" t="s">
        <v>2248</v>
      </c>
    </row>
    <row r="145" spans="1:2" x14ac:dyDescent="0.5">
      <c r="A145" t="s">
        <v>197</v>
      </c>
      <c r="B145" t="s">
        <v>2248</v>
      </c>
    </row>
    <row r="146" spans="1:2" x14ac:dyDescent="0.5">
      <c r="A146" t="s">
        <v>240</v>
      </c>
      <c r="B146" t="s">
        <v>2248</v>
      </c>
    </row>
    <row r="147" spans="1:2" x14ac:dyDescent="0.5">
      <c r="A147" t="s">
        <v>242</v>
      </c>
      <c r="B147" t="s">
        <v>2248</v>
      </c>
    </row>
    <row r="148" spans="1:2" x14ac:dyDescent="0.5">
      <c r="A148" t="s">
        <v>246</v>
      </c>
      <c r="B148" t="s">
        <v>2248</v>
      </c>
    </row>
    <row r="149" spans="1:2" x14ac:dyDescent="0.5">
      <c r="A149" t="s">
        <v>267</v>
      </c>
      <c r="B149" t="s">
        <v>2248</v>
      </c>
    </row>
    <row r="150" spans="1:2" x14ac:dyDescent="0.5">
      <c r="A150" t="s">
        <v>320</v>
      </c>
      <c r="B150" t="s">
        <v>2248</v>
      </c>
    </row>
    <row r="151" spans="1:2" x14ac:dyDescent="0.5">
      <c r="A151" t="s">
        <v>318</v>
      </c>
      <c r="B151" t="s">
        <v>2248</v>
      </c>
    </row>
    <row r="152" spans="1:2" x14ac:dyDescent="0.5">
      <c r="A152" t="s">
        <v>324</v>
      </c>
      <c r="B152" t="s">
        <v>2248</v>
      </c>
    </row>
    <row r="153" spans="1:2" x14ac:dyDescent="0.5">
      <c r="A153" t="s">
        <v>297</v>
      </c>
      <c r="B153" t="s">
        <v>2248</v>
      </c>
    </row>
    <row r="154" spans="1:2" x14ac:dyDescent="0.5">
      <c r="A154" t="s">
        <v>331</v>
      </c>
      <c r="B154" t="s">
        <v>2248</v>
      </c>
    </row>
    <row r="155" spans="1:2" x14ac:dyDescent="0.5">
      <c r="A155" t="s">
        <v>337</v>
      </c>
      <c r="B155" t="s">
        <v>2248</v>
      </c>
    </row>
    <row r="156" spans="1:2" x14ac:dyDescent="0.5">
      <c r="A156" t="s">
        <v>333</v>
      </c>
      <c r="B156" t="s">
        <v>2248</v>
      </c>
    </row>
    <row r="157" spans="1:2" x14ac:dyDescent="0.5">
      <c r="A157" t="s">
        <v>360</v>
      </c>
      <c r="B157" t="s">
        <v>2248</v>
      </c>
    </row>
    <row r="158" spans="1:2" x14ac:dyDescent="0.5">
      <c r="A158" t="s">
        <v>513</v>
      </c>
      <c r="B158" t="s">
        <v>2248</v>
      </c>
    </row>
    <row r="159" spans="1:2" x14ac:dyDescent="0.5">
      <c r="A159" t="s">
        <v>516</v>
      </c>
      <c r="B159" t="s">
        <v>2248</v>
      </c>
    </row>
    <row r="160" spans="1:2" x14ac:dyDescent="0.5">
      <c r="A160" t="s">
        <v>2253</v>
      </c>
      <c r="B160" t="s">
        <v>2248</v>
      </c>
    </row>
    <row r="161" spans="1:2" x14ac:dyDescent="0.5">
      <c r="A161" t="s">
        <v>419</v>
      </c>
      <c r="B161" t="s">
        <v>2248</v>
      </c>
    </row>
    <row r="162" spans="1:2" x14ac:dyDescent="0.5">
      <c r="A162" t="s">
        <v>429</v>
      </c>
      <c r="B162" t="s">
        <v>2248</v>
      </c>
    </row>
    <row r="163" spans="1:2" x14ac:dyDescent="0.5">
      <c r="A163" t="s">
        <v>411</v>
      </c>
      <c r="B163" t="s">
        <v>2248</v>
      </c>
    </row>
    <row r="164" spans="1:2" x14ac:dyDescent="0.5">
      <c r="A164" t="s">
        <v>451</v>
      </c>
      <c r="B164" t="s">
        <v>2248</v>
      </c>
    </row>
    <row r="165" spans="1:2" x14ac:dyDescent="0.5">
      <c r="A165" t="s">
        <v>476</v>
      </c>
      <c r="B165" t="s">
        <v>2248</v>
      </c>
    </row>
    <row r="166" spans="1:2" x14ac:dyDescent="0.5">
      <c r="A166" t="s">
        <v>483</v>
      </c>
      <c r="B166" t="s">
        <v>2248</v>
      </c>
    </row>
    <row r="167" spans="1:2" x14ac:dyDescent="0.5">
      <c r="A167" t="s">
        <v>492</v>
      </c>
      <c r="B167" t="s">
        <v>2248</v>
      </c>
    </row>
    <row r="168" spans="1:2" x14ac:dyDescent="0.5">
      <c r="A168" t="s">
        <v>480</v>
      </c>
      <c r="B168" t="s">
        <v>2248</v>
      </c>
    </row>
    <row r="169" spans="1:2" x14ac:dyDescent="0.5">
      <c r="A169" t="s">
        <v>2254</v>
      </c>
      <c r="B169" t="s">
        <v>2248</v>
      </c>
    </row>
    <row r="170" spans="1:2" x14ac:dyDescent="0.5">
      <c r="A170" t="s">
        <v>250</v>
      </c>
      <c r="B170" t="s">
        <v>2248</v>
      </c>
    </row>
    <row r="171" spans="1:2" x14ac:dyDescent="0.5">
      <c r="A171" t="s">
        <v>569</v>
      </c>
      <c r="B171" t="s">
        <v>2248</v>
      </c>
    </row>
    <row r="172" spans="1:2" x14ac:dyDescent="0.5">
      <c r="A172" t="s">
        <v>2255</v>
      </c>
      <c r="B172" t="s">
        <v>2248</v>
      </c>
    </row>
    <row r="173" spans="1:2" x14ac:dyDescent="0.5">
      <c r="A173" t="s">
        <v>600</v>
      </c>
      <c r="B173" t="s">
        <v>2248</v>
      </c>
    </row>
    <row r="174" spans="1:2" x14ac:dyDescent="0.5">
      <c r="A174" t="s">
        <v>592</v>
      </c>
      <c r="B174" t="s">
        <v>2248</v>
      </c>
    </row>
    <row r="175" spans="1:2" x14ac:dyDescent="0.5">
      <c r="A175" t="s">
        <v>619</v>
      </c>
      <c r="B175" t="s">
        <v>2248</v>
      </c>
    </row>
    <row r="176" spans="1:2" x14ac:dyDescent="0.5">
      <c r="A176" t="s">
        <v>521</v>
      </c>
      <c r="B176" t="s">
        <v>2248</v>
      </c>
    </row>
    <row r="177" spans="1:2" x14ac:dyDescent="0.5">
      <c r="A177" t="s">
        <v>625</v>
      </c>
      <c r="B177" t="s">
        <v>2248</v>
      </c>
    </row>
    <row r="178" spans="1:2" x14ac:dyDescent="0.5">
      <c r="A178" t="s">
        <v>177</v>
      </c>
      <c r="B178" t="s">
        <v>2248</v>
      </c>
    </row>
    <row r="179" spans="1:2" x14ac:dyDescent="0.5">
      <c r="A179" t="s">
        <v>617</v>
      </c>
      <c r="B179" t="s">
        <v>2248</v>
      </c>
    </row>
    <row r="180" spans="1:2" x14ac:dyDescent="0.5">
      <c r="A180" t="s">
        <v>608</v>
      </c>
      <c r="B180" t="s">
        <v>2256</v>
      </c>
    </row>
    <row r="181" spans="1:2" x14ac:dyDescent="0.5">
      <c r="A181" t="s">
        <v>146</v>
      </c>
      <c r="B181" t="s">
        <v>2256</v>
      </c>
    </row>
    <row r="182" spans="1:2" x14ac:dyDescent="0.5">
      <c r="A182" t="s">
        <v>348</v>
      </c>
      <c r="B182" t="s">
        <v>2256</v>
      </c>
    </row>
    <row r="183" spans="1:2" x14ac:dyDescent="0.5">
      <c r="A183" t="s">
        <v>350</v>
      </c>
      <c r="B183" t="s">
        <v>2256</v>
      </c>
    </row>
    <row r="184" spans="1:2" x14ac:dyDescent="0.5">
      <c r="A184" t="s">
        <v>356</v>
      </c>
      <c r="B184" t="s">
        <v>2256</v>
      </c>
    </row>
    <row r="185" spans="1:2" x14ac:dyDescent="0.5">
      <c r="A185" t="s">
        <v>365</v>
      </c>
      <c r="B185" t="s">
        <v>2256</v>
      </c>
    </row>
    <row r="186" spans="1:2" x14ac:dyDescent="0.5">
      <c r="A186" t="s">
        <v>375</v>
      </c>
      <c r="B186" t="s">
        <v>2256</v>
      </c>
    </row>
    <row r="187" spans="1:2" x14ac:dyDescent="0.5">
      <c r="A187" t="s">
        <v>383</v>
      </c>
      <c r="B187" t="s">
        <v>2256</v>
      </c>
    </row>
    <row r="188" spans="1:2" x14ac:dyDescent="0.5">
      <c r="A188" t="s">
        <v>470</v>
      </c>
      <c r="B188" t="s">
        <v>2256</v>
      </c>
    </row>
    <row r="189" spans="1:2" x14ac:dyDescent="0.5">
      <c r="A189" t="s">
        <v>565</v>
      </c>
      <c r="B189" t="s">
        <v>2256</v>
      </c>
    </row>
    <row r="190" spans="1:2" x14ac:dyDescent="0.5">
      <c r="A190" t="s">
        <v>494</v>
      </c>
      <c r="B190" t="s">
        <v>2256</v>
      </c>
    </row>
    <row r="191" spans="1:2" x14ac:dyDescent="0.5">
      <c r="A191" t="s">
        <v>445</v>
      </c>
      <c r="B191" t="s">
        <v>2256</v>
      </c>
    </row>
    <row r="192" spans="1:2" x14ac:dyDescent="0.5">
      <c r="A192" t="s">
        <v>576</v>
      </c>
      <c r="B192" t="s">
        <v>2256</v>
      </c>
    </row>
    <row r="193" spans="1:2" x14ac:dyDescent="0.5">
      <c r="A193" t="s">
        <v>636</v>
      </c>
      <c r="B193" t="s">
        <v>2256</v>
      </c>
    </row>
    <row r="194" spans="1:2" x14ac:dyDescent="0.5">
      <c r="A194" t="s">
        <v>161</v>
      </c>
      <c r="B194" t="s">
        <v>2257</v>
      </c>
    </row>
    <row r="195" spans="1:2" x14ac:dyDescent="0.5">
      <c r="A195" t="s">
        <v>192</v>
      </c>
      <c r="B195" t="s">
        <v>2257</v>
      </c>
    </row>
    <row r="196" spans="1:2" x14ac:dyDescent="0.5">
      <c r="A196" t="s">
        <v>316</v>
      </c>
      <c r="B196" t="s">
        <v>2257</v>
      </c>
    </row>
    <row r="197" spans="1:2" x14ac:dyDescent="0.5">
      <c r="A197" t="s">
        <v>519</v>
      </c>
      <c r="B197" t="s">
        <v>2257</v>
      </c>
    </row>
    <row r="198" spans="1:2" x14ac:dyDescent="0.5">
      <c r="A198" t="s">
        <v>614</v>
      </c>
      <c r="B198" t="s">
        <v>2257</v>
      </c>
    </row>
    <row r="199" spans="1:2" x14ac:dyDescent="0.5">
      <c r="A199" t="s">
        <v>138</v>
      </c>
      <c r="B199" t="s">
        <v>2258</v>
      </c>
    </row>
    <row r="200" spans="1:2" x14ac:dyDescent="0.5">
      <c r="A200" t="s">
        <v>2259</v>
      </c>
      <c r="B200" t="s">
        <v>2258</v>
      </c>
    </row>
    <row r="201" spans="1:2" x14ac:dyDescent="0.5">
      <c r="A201" t="s">
        <v>2260</v>
      </c>
      <c r="B201" t="s">
        <v>2258</v>
      </c>
    </row>
    <row r="202" spans="1:2" x14ac:dyDescent="0.5">
      <c r="A202" t="s">
        <v>2261</v>
      </c>
      <c r="B202" t="s">
        <v>2258</v>
      </c>
    </row>
    <row r="203" spans="1:2" x14ac:dyDescent="0.5">
      <c r="A203" t="s">
        <v>362</v>
      </c>
      <c r="B203" t="s">
        <v>2258</v>
      </c>
    </row>
    <row r="204" spans="1:2" x14ac:dyDescent="0.5">
      <c r="A204" t="s">
        <v>2262</v>
      </c>
      <c r="B204" t="s">
        <v>2258</v>
      </c>
    </row>
    <row r="205" spans="1:2" x14ac:dyDescent="0.5">
      <c r="A205" t="s">
        <v>449</v>
      </c>
      <c r="B205" t="s">
        <v>2258</v>
      </c>
    </row>
    <row r="206" spans="1:2" x14ac:dyDescent="0.5">
      <c r="A206" t="s">
        <v>132</v>
      </c>
      <c r="B206" t="s">
        <v>2263</v>
      </c>
    </row>
    <row r="207" spans="1:2" x14ac:dyDescent="0.5">
      <c r="A207" t="s">
        <v>142</v>
      </c>
      <c r="B207" t="s">
        <v>2263</v>
      </c>
    </row>
    <row r="208" spans="1:2" x14ac:dyDescent="0.5">
      <c r="A208" t="s">
        <v>152</v>
      </c>
      <c r="B208" t="s">
        <v>2263</v>
      </c>
    </row>
    <row r="209" spans="1:2" x14ac:dyDescent="0.5">
      <c r="A209" t="s">
        <v>306</v>
      </c>
      <c r="B209" t="s">
        <v>2263</v>
      </c>
    </row>
    <row r="210" spans="1:2" x14ac:dyDescent="0.5">
      <c r="A210" t="s">
        <v>367</v>
      </c>
      <c r="B210" t="s">
        <v>2263</v>
      </c>
    </row>
    <row r="211" spans="1:2" x14ac:dyDescent="0.5">
      <c r="A211" t="s">
        <v>377</v>
      </c>
      <c r="B211" t="s">
        <v>2263</v>
      </c>
    </row>
    <row r="212" spans="1:2" x14ac:dyDescent="0.5">
      <c r="A212" t="s">
        <v>498</v>
      </c>
      <c r="B212" t="s">
        <v>2263</v>
      </c>
    </row>
    <row r="213" spans="1:2" x14ac:dyDescent="0.5">
      <c r="A213" t="s">
        <v>505</v>
      </c>
      <c r="B213" t="s">
        <v>2263</v>
      </c>
    </row>
    <row r="214" spans="1:2" x14ac:dyDescent="0.5">
      <c r="A214" t="s">
        <v>578</v>
      </c>
      <c r="B214" t="s">
        <v>2263</v>
      </c>
    </row>
    <row r="215" spans="1:2" x14ac:dyDescent="0.5">
      <c r="A215" t="s">
        <v>598</v>
      </c>
      <c r="B215" t="s">
        <v>2263</v>
      </c>
    </row>
    <row r="216" spans="1:2" x14ac:dyDescent="0.5">
      <c r="A216" t="s">
        <v>606</v>
      </c>
      <c r="B216" t="s">
        <v>2263</v>
      </c>
    </row>
    <row r="217" spans="1:2" x14ac:dyDescent="0.5">
      <c r="A217" t="s">
        <v>621</v>
      </c>
      <c r="B217" t="s">
        <v>2263</v>
      </c>
    </row>
    <row r="218" spans="1:2" x14ac:dyDescent="0.5">
      <c r="A218" t="s">
        <v>117</v>
      </c>
      <c r="B218" t="s">
        <v>2264</v>
      </c>
    </row>
    <row r="219" spans="1:2" x14ac:dyDescent="0.5">
      <c r="A219" t="s">
        <v>179</v>
      </c>
      <c r="B219" t="s">
        <v>2264</v>
      </c>
    </row>
    <row r="220" spans="1:2" x14ac:dyDescent="0.5">
      <c r="A220" t="s">
        <v>217</v>
      </c>
      <c r="B220" t="s">
        <v>2264</v>
      </c>
    </row>
    <row r="221" spans="1:2" x14ac:dyDescent="0.5">
      <c r="A221" t="s">
        <v>269</v>
      </c>
      <c r="B221" t="s">
        <v>2264</v>
      </c>
    </row>
    <row r="222" spans="1:2" x14ac:dyDescent="0.5">
      <c r="A222" t="s">
        <v>644</v>
      </c>
      <c r="B222" t="s">
        <v>2264</v>
      </c>
    </row>
    <row r="223" spans="1:2" x14ac:dyDescent="0.5">
      <c r="A223" t="s">
        <v>322</v>
      </c>
      <c r="B223" t="s">
        <v>2264</v>
      </c>
    </row>
    <row r="224" spans="1:2" x14ac:dyDescent="0.5">
      <c r="A224" t="s">
        <v>346</v>
      </c>
      <c r="B224" t="s">
        <v>2264</v>
      </c>
    </row>
    <row r="225" spans="1:2" x14ac:dyDescent="0.5">
      <c r="A225" t="s">
        <v>188</v>
      </c>
      <c r="B225" t="s">
        <v>2264</v>
      </c>
    </row>
    <row r="226" spans="1:2" x14ac:dyDescent="0.5">
      <c r="A226" t="s">
        <v>371</v>
      </c>
      <c r="B226" t="s">
        <v>2264</v>
      </c>
    </row>
    <row r="227" spans="1:2" x14ac:dyDescent="0.5">
      <c r="A227" t="s">
        <v>379</v>
      </c>
      <c r="B227" t="s">
        <v>2264</v>
      </c>
    </row>
    <row r="228" spans="1:2" x14ac:dyDescent="0.5">
      <c r="A228" t="s">
        <v>409</v>
      </c>
      <c r="B228" t="s">
        <v>2264</v>
      </c>
    </row>
    <row r="229" spans="1:2" x14ac:dyDescent="0.5">
      <c r="A229" t="s">
        <v>435</v>
      </c>
      <c r="B229" t="s">
        <v>2264</v>
      </c>
    </row>
    <row r="230" spans="1:2" x14ac:dyDescent="0.5">
      <c r="A230" t="s">
        <v>464</v>
      </c>
      <c r="B230" t="s">
        <v>2264</v>
      </c>
    </row>
    <row r="231" spans="1:2" x14ac:dyDescent="0.5">
      <c r="A231" t="s">
        <v>401</v>
      </c>
      <c r="B231" t="s">
        <v>2264</v>
      </c>
    </row>
    <row r="232" spans="1:2" x14ac:dyDescent="0.5">
      <c r="A232" t="s">
        <v>447</v>
      </c>
      <c r="B232" t="s">
        <v>2264</v>
      </c>
    </row>
    <row r="233" spans="1:2" x14ac:dyDescent="0.5">
      <c r="A233" t="s">
        <v>457</v>
      </c>
      <c r="B233" t="s">
        <v>2264</v>
      </c>
    </row>
    <row r="234" spans="1:2" x14ac:dyDescent="0.5">
      <c r="A234" t="s">
        <v>439</v>
      </c>
      <c r="B234" t="s">
        <v>2264</v>
      </c>
    </row>
    <row r="235" spans="1:2" x14ac:dyDescent="0.5">
      <c r="A235" t="s">
        <v>2265</v>
      </c>
      <c r="B235" t="s">
        <v>2264</v>
      </c>
    </row>
    <row r="236" spans="1:2" x14ac:dyDescent="0.5">
      <c r="A236" t="s">
        <v>485</v>
      </c>
      <c r="B236" t="s">
        <v>2264</v>
      </c>
    </row>
    <row r="237" spans="1:2" x14ac:dyDescent="0.5">
      <c r="A237" t="s">
        <v>474</v>
      </c>
      <c r="B237" t="s">
        <v>2264</v>
      </c>
    </row>
    <row r="238" spans="1:2" x14ac:dyDescent="0.5">
      <c r="A238" t="s">
        <v>478</v>
      </c>
      <c r="B238" t="s">
        <v>2264</v>
      </c>
    </row>
    <row r="239" spans="1:2" x14ac:dyDescent="0.5">
      <c r="A239" t="s">
        <v>299</v>
      </c>
      <c r="B239" t="s">
        <v>2264</v>
      </c>
    </row>
    <row r="240" spans="1:2" x14ac:dyDescent="0.5">
      <c r="A240" t="s">
        <v>542</v>
      </c>
      <c r="B240" t="s">
        <v>2264</v>
      </c>
    </row>
    <row r="241" spans="1:2" x14ac:dyDescent="0.5">
      <c r="A241" t="s">
        <v>549</v>
      </c>
      <c r="B241" t="s">
        <v>2264</v>
      </c>
    </row>
    <row r="242" spans="1:2" x14ac:dyDescent="0.5">
      <c r="A242" t="s">
        <v>582</v>
      </c>
      <c r="B242" t="s">
        <v>2264</v>
      </c>
    </row>
    <row r="243" spans="1:2" x14ac:dyDescent="0.5">
      <c r="A243" t="s">
        <v>588</v>
      </c>
      <c r="B243" t="s">
        <v>2264</v>
      </c>
    </row>
    <row r="244" spans="1:2" x14ac:dyDescent="0.5">
      <c r="A244" t="s">
        <v>584</v>
      </c>
      <c r="B244" t="s">
        <v>2264</v>
      </c>
    </row>
    <row r="245" spans="1:2" x14ac:dyDescent="0.5">
      <c r="A245" t="s">
        <v>590</v>
      </c>
      <c r="B245" t="s">
        <v>2264</v>
      </c>
    </row>
    <row r="246" spans="1:2" x14ac:dyDescent="0.5">
      <c r="A246" t="s">
        <v>602</v>
      </c>
      <c r="B246" t="s">
        <v>2264</v>
      </c>
    </row>
    <row r="247" spans="1:2" x14ac:dyDescent="0.5">
      <c r="A247" t="s">
        <v>2266</v>
      </c>
      <c r="B247" t="s">
        <v>2264</v>
      </c>
    </row>
    <row r="248" spans="1:2" x14ac:dyDescent="0.5">
      <c r="A248" t="s">
        <v>627</v>
      </c>
      <c r="B248" t="s">
        <v>2264</v>
      </c>
    </row>
    <row r="249" spans="1:2" x14ac:dyDescent="0.5">
      <c r="A249" t="s">
        <v>623</v>
      </c>
      <c r="B249" t="s">
        <v>2264</v>
      </c>
    </row>
    <row r="250" spans="1:2" x14ac:dyDescent="0.5">
      <c r="A250" t="s">
        <v>630</v>
      </c>
      <c r="B250" t="s">
        <v>2264</v>
      </c>
    </row>
    <row r="251" spans="1:2" x14ac:dyDescent="0.5">
      <c r="A251" t="s">
        <v>524</v>
      </c>
      <c r="B251" t="s">
        <v>2264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C123-6867-48E3-90D7-4792B946A794}">
  <dimension ref="A1:F234"/>
  <sheetViews>
    <sheetView workbookViewId="0"/>
  </sheetViews>
  <sheetFormatPr defaultRowHeight="15.75" x14ac:dyDescent="0.5"/>
  <cols>
    <col min="1" max="1" width="12.875" bestFit="1" customWidth="1"/>
    <col min="2" max="2" width="5.125" bestFit="1" customWidth="1"/>
  </cols>
  <sheetData>
    <row r="1" spans="1:6" x14ac:dyDescent="0.5">
      <c r="A1" t="s">
        <v>1439</v>
      </c>
      <c r="B1" t="s">
        <v>2109</v>
      </c>
      <c r="C1" t="s">
        <v>1467</v>
      </c>
      <c r="D1" t="s">
        <v>1468</v>
      </c>
      <c r="E1" t="s">
        <v>1438</v>
      </c>
      <c r="F1" t="s">
        <v>1466</v>
      </c>
    </row>
    <row r="2" spans="1:6" x14ac:dyDescent="0.5">
      <c r="A2" t="s">
        <v>205</v>
      </c>
      <c r="B2" t="s">
        <v>204</v>
      </c>
      <c r="C2" t="s">
        <v>1470</v>
      </c>
      <c r="D2" t="s">
        <v>1472</v>
      </c>
      <c r="E2" t="s">
        <v>204</v>
      </c>
      <c r="F2" t="s">
        <v>1469</v>
      </c>
    </row>
    <row r="3" spans="1:6" x14ac:dyDescent="0.5">
      <c r="A3" t="s">
        <v>343</v>
      </c>
      <c r="B3" t="s">
        <v>342</v>
      </c>
      <c r="C3" t="s">
        <v>1474</v>
      </c>
      <c r="D3" t="s">
        <v>1475</v>
      </c>
      <c r="E3" t="s">
        <v>342</v>
      </c>
      <c r="F3" t="s">
        <v>1473</v>
      </c>
    </row>
    <row r="4" spans="1:6" x14ac:dyDescent="0.5">
      <c r="A4" t="s">
        <v>614</v>
      </c>
      <c r="B4" t="s">
        <v>1476</v>
      </c>
      <c r="C4" t="s">
        <v>1478</v>
      </c>
      <c r="D4" t="s">
        <v>614</v>
      </c>
      <c r="E4" t="s">
        <v>614</v>
      </c>
      <c r="F4" t="s">
        <v>1477</v>
      </c>
    </row>
    <row r="5" spans="1:6" x14ac:dyDescent="0.5">
      <c r="A5" t="s">
        <v>346</v>
      </c>
      <c r="B5" t="s">
        <v>345</v>
      </c>
      <c r="C5" t="s">
        <v>1480</v>
      </c>
      <c r="D5" t="s">
        <v>1481</v>
      </c>
      <c r="E5" t="s">
        <v>1440</v>
      </c>
      <c r="F5" t="s">
        <v>1479</v>
      </c>
    </row>
    <row r="6" spans="1:6" x14ac:dyDescent="0.5">
      <c r="A6" t="s">
        <v>173</v>
      </c>
      <c r="B6" t="s">
        <v>172</v>
      </c>
      <c r="C6" t="s">
        <v>1483</v>
      </c>
      <c r="D6" t="s">
        <v>1484</v>
      </c>
      <c r="E6" t="s">
        <v>172</v>
      </c>
      <c r="F6" t="s">
        <v>1482</v>
      </c>
    </row>
    <row r="7" spans="1:6" x14ac:dyDescent="0.5">
      <c r="A7" t="s">
        <v>505</v>
      </c>
      <c r="B7" t="s">
        <v>1450</v>
      </c>
      <c r="C7" t="s">
        <v>1486</v>
      </c>
      <c r="D7" t="s">
        <v>1487</v>
      </c>
      <c r="E7" t="s">
        <v>1450</v>
      </c>
      <c r="F7" t="s">
        <v>1485</v>
      </c>
    </row>
    <row r="8" spans="1:6" x14ac:dyDescent="0.5">
      <c r="A8" t="s">
        <v>362</v>
      </c>
      <c r="B8" t="s">
        <v>361</v>
      </c>
      <c r="C8" t="s">
        <v>1489</v>
      </c>
      <c r="D8" t="s">
        <v>1490</v>
      </c>
      <c r="E8" t="s">
        <v>1457</v>
      </c>
      <c r="F8" t="s">
        <v>1488</v>
      </c>
    </row>
    <row r="9" spans="1:6" x14ac:dyDescent="0.5">
      <c r="A9" t="s">
        <v>115</v>
      </c>
      <c r="B9" t="s">
        <v>114</v>
      </c>
      <c r="C9" t="s">
        <v>1492</v>
      </c>
      <c r="D9" t="s">
        <v>1493</v>
      </c>
      <c r="E9" t="s">
        <v>1442</v>
      </c>
      <c r="F9" t="s">
        <v>1491</v>
      </c>
    </row>
    <row r="10" spans="1:6" x14ac:dyDescent="0.5">
      <c r="A10" t="s">
        <v>419</v>
      </c>
      <c r="B10" t="s">
        <v>418</v>
      </c>
      <c r="C10" t="s">
        <v>1495</v>
      </c>
      <c r="D10" t="s">
        <v>1496</v>
      </c>
      <c r="E10" t="s">
        <v>418</v>
      </c>
      <c r="F10" t="s">
        <v>1494</v>
      </c>
    </row>
    <row r="11" spans="1:6" x14ac:dyDescent="0.5">
      <c r="A11" t="s">
        <v>308</v>
      </c>
      <c r="B11" t="s">
        <v>307</v>
      </c>
      <c r="C11" t="s">
        <v>1498</v>
      </c>
      <c r="D11" t="s">
        <v>1499</v>
      </c>
      <c r="E11" t="s">
        <v>307</v>
      </c>
      <c r="F11" t="s">
        <v>1497</v>
      </c>
    </row>
    <row r="12" spans="1:6" x14ac:dyDescent="0.5">
      <c r="A12" t="s">
        <v>610</v>
      </c>
      <c r="B12" t="s">
        <v>609</v>
      </c>
      <c r="C12" t="s">
        <v>1501</v>
      </c>
      <c r="D12" t="s">
        <v>1455</v>
      </c>
      <c r="E12" t="s">
        <v>1455</v>
      </c>
      <c r="F12" t="s">
        <v>1500</v>
      </c>
    </row>
    <row r="13" spans="1:6" x14ac:dyDescent="0.5">
      <c r="A13" t="s">
        <v>293</v>
      </c>
      <c r="B13" t="s">
        <v>292</v>
      </c>
      <c r="C13" t="s">
        <v>1503</v>
      </c>
      <c r="D13" t="s">
        <v>1504</v>
      </c>
      <c r="E13" t="s">
        <v>292</v>
      </c>
      <c r="F13" t="s">
        <v>1502</v>
      </c>
    </row>
    <row r="14" spans="1:6" x14ac:dyDescent="0.5">
      <c r="A14" t="s">
        <v>496</v>
      </c>
      <c r="B14" t="s">
        <v>1505</v>
      </c>
      <c r="C14" t="s">
        <v>1507</v>
      </c>
      <c r="D14" t="s">
        <v>1508</v>
      </c>
      <c r="E14" t="s">
        <v>1457</v>
      </c>
      <c r="F14" t="s">
        <v>1506</v>
      </c>
    </row>
    <row r="15" spans="1:6" x14ac:dyDescent="0.5">
      <c r="A15" t="s">
        <v>596</v>
      </c>
      <c r="B15" t="s">
        <v>595</v>
      </c>
      <c r="C15" t="s">
        <v>1510</v>
      </c>
      <c r="D15" t="s">
        <v>1511</v>
      </c>
      <c r="E15" t="s">
        <v>1441</v>
      </c>
      <c r="F15" t="s">
        <v>1509</v>
      </c>
    </row>
    <row r="16" spans="1:6" x14ac:dyDescent="0.5">
      <c r="A16" t="s">
        <v>121</v>
      </c>
      <c r="B16" t="s">
        <v>120</v>
      </c>
      <c r="C16" t="s">
        <v>1513</v>
      </c>
      <c r="D16" t="s">
        <v>1514</v>
      </c>
      <c r="E16" t="s">
        <v>1443</v>
      </c>
      <c r="F16" t="s">
        <v>1512</v>
      </c>
    </row>
    <row r="17" spans="1:6" x14ac:dyDescent="0.5">
      <c r="A17" t="s">
        <v>472</v>
      </c>
      <c r="B17" t="s">
        <v>471</v>
      </c>
      <c r="C17" t="s">
        <v>1516</v>
      </c>
      <c r="D17" t="s">
        <v>1517</v>
      </c>
      <c r="E17" t="s">
        <v>1440</v>
      </c>
      <c r="F17" t="s">
        <v>1515</v>
      </c>
    </row>
    <row r="18" spans="1:6" x14ac:dyDescent="0.5">
      <c r="A18" t="s">
        <v>358</v>
      </c>
      <c r="B18" t="s">
        <v>357</v>
      </c>
      <c r="C18" t="s">
        <v>1519</v>
      </c>
      <c r="D18" t="s">
        <v>1520</v>
      </c>
      <c r="E18" t="s">
        <v>1453</v>
      </c>
      <c r="F18" t="s">
        <v>1518</v>
      </c>
    </row>
    <row r="19" spans="1:6" x14ac:dyDescent="0.5">
      <c r="A19" t="s">
        <v>582</v>
      </c>
      <c r="B19" t="s">
        <v>581</v>
      </c>
      <c r="C19" t="s">
        <v>1522</v>
      </c>
      <c r="D19" t="s">
        <v>1523</v>
      </c>
      <c r="E19" t="s">
        <v>1440</v>
      </c>
      <c r="F19" t="s">
        <v>1521</v>
      </c>
    </row>
    <row r="20" spans="1:6" x14ac:dyDescent="0.5">
      <c r="A20" t="s">
        <v>192</v>
      </c>
      <c r="B20" t="s">
        <v>191</v>
      </c>
      <c r="C20" t="s">
        <v>1525</v>
      </c>
      <c r="D20" t="s">
        <v>1526</v>
      </c>
      <c r="E20" t="s">
        <v>191</v>
      </c>
      <c r="F20" t="s">
        <v>1524</v>
      </c>
    </row>
    <row r="21" spans="1:6" x14ac:dyDescent="0.5">
      <c r="A21" t="s">
        <v>148</v>
      </c>
      <c r="B21" t="s">
        <v>147</v>
      </c>
      <c r="C21" t="s">
        <v>1528</v>
      </c>
      <c r="D21" t="s">
        <v>1529</v>
      </c>
      <c r="E21" t="s">
        <v>1440</v>
      </c>
      <c r="F21" t="s">
        <v>1527</v>
      </c>
    </row>
    <row r="22" spans="1:6" x14ac:dyDescent="0.5">
      <c r="A22" t="s">
        <v>138</v>
      </c>
      <c r="B22" t="s">
        <v>137</v>
      </c>
      <c r="C22" t="s">
        <v>1531</v>
      </c>
      <c r="D22" t="s">
        <v>1532</v>
      </c>
      <c r="E22" t="s">
        <v>1447</v>
      </c>
      <c r="F22" t="s">
        <v>1530</v>
      </c>
    </row>
    <row r="23" spans="1:6" x14ac:dyDescent="0.5">
      <c r="A23" t="s">
        <v>348</v>
      </c>
      <c r="B23" t="s">
        <v>347</v>
      </c>
      <c r="C23" t="s">
        <v>1534</v>
      </c>
      <c r="D23" t="s">
        <v>1535</v>
      </c>
      <c r="E23" t="s">
        <v>1449</v>
      </c>
      <c r="F23" t="s">
        <v>1533</v>
      </c>
    </row>
    <row r="24" spans="1:6" x14ac:dyDescent="0.5">
      <c r="A24" t="s">
        <v>485</v>
      </c>
      <c r="B24" t="s">
        <v>484</v>
      </c>
      <c r="C24" t="s">
        <v>1537</v>
      </c>
      <c r="D24" t="s">
        <v>1538</v>
      </c>
      <c r="E24" t="s">
        <v>1440</v>
      </c>
      <c r="F24" t="s">
        <v>1536</v>
      </c>
    </row>
    <row r="25" spans="1:6" x14ac:dyDescent="0.5">
      <c r="A25" t="s">
        <v>560</v>
      </c>
      <c r="B25" t="s">
        <v>559</v>
      </c>
      <c r="C25" t="s">
        <v>1540</v>
      </c>
      <c r="D25" t="s">
        <v>1541</v>
      </c>
      <c r="E25" t="s">
        <v>1459</v>
      </c>
      <c r="F25" t="s">
        <v>1539</v>
      </c>
    </row>
    <row r="26" spans="1:6" x14ac:dyDescent="0.5">
      <c r="A26" t="s">
        <v>445</v>
      </c>
      <c r="B26" t="s">
        <v>531</v>
      </c>
      <c r="C26" t="s">
        <v>1543</v>
      </c>
      <c r="D26" t="s">
        <v>1544</v>
      </c>
      <c r="E26" t="s">
        <v>1460</v>
      </c>
      <c r="F26" t="s">
        <v>1542</v>
      </c>
    </row>
    <row r="27" spans="1:6" x14ac:dyDescent="0.5">
      <c r="A27" t="s">
        <v>130</v>
      </c>
      <c r="B27" t="s">
        <v>129</v>
      </c>
      <c r="C27" t="s">
        <v>1546</v>
      </c>
      <c r="D27" t="s">
        <v>1547</v>
      </c>
      <c r="E27" t="s">
        <v>1445</v>
      </c>
      <c r="F27" t="s">
        <v>1545</v>
      </c>
    </row>
    <row r="28" spans="1:6" x14ac:dyDescent="0.5">
      <c r="A28" t="s">
        <v>627</v>
      </c>
      <c r="B28" t="s">
        <v>626</v>
      </c>
      <c r="C28" t="s">
        <v>1549</v>
      </c>
      <c r="D28" t="s">
        <v>1550</v>
      </c>
      <c r="E28" t="s">
        <v>1440</v>
      </c>
      <c r="F28" t="s">
        <v>1548</v>
      </c>
    </row>
    <row r="29" spans="1:6" x14ac:dyDescent="0.5">
      <c r="A29" t="s">
        <v>159</v>
      </c>
      <c r="B29" t="s">
        <v>158</v>
      </c>
      <c r="C29" t="s">
        <v>1552</v>
      </c>
      <c r="D29" t="s">
        <v>1553</v>
      </c>
      <c r="E29" t="s">
        <v>1443</v>
      </c>
      <c r="F29" t="s">
        <v>1551</v>
      </c>
    </row>
    <row r="30" spans="1:6" x14ac:dyDescent="0.5">
      <c r="A30" t="s">
        <v>401</v>
      </c>
      <c r="B30" t="s">
        <v>400</v>
      </c>
      <c r="C30" t="s">
        <v>1555</v>
      </c>
      <c r="D30" t="s">
        <v>1556</v>
      </c>
      <c r="E30" t="s">
        <v>1440</v>
      </c>
      <c r="F30" t="s">
        <v>1554</v>
      </c>
    </row>
    <row r="31" spans="1:6" x14ac:dyDescent="0.5">
      <c r="A31" t="s">
        <v>211</v>
      </c>
      <c r="B31" t="s">
        <v>210</v>
      </c>
      <c r="C31" t="s">
        <v>1558</v>
      </c>
      <c r="D31" t="s">
        <v>1559</v>
      </c>
      <c r="E31" t="s">
        <v>1444</v>
      </c>
      <c r="F31" t="s">
        <v>1557</v>
      </c>
    </row>
    <row r="32" spans="1:6" x14ac:dyDescent="0.5">
      <c r="A32" t="s">
        <v>488</v>
      </c>
      <c r="B32" t="s">
        <v>487</v>
      </c>
      <c r="C32" t="s">
        <v>1561</v>
      </c>
      <c r="D32" t="s">
        <v>1562</v>
      </c>
      <c r="E32" t="s">
        <v>1448</v>
      </c>
      <c r="F32" t="s">
        <v>1560</v>
      </c>
    </row>
    <row r="33" spans="1:6" x14ac:dyDescent="0.5">
      <c r="A33" t="s">
        <v>1462</v>
      </c>
      <c r="B33" t="s">
        <v>1464</v>
      </c>
      <c r="C33" t="s">
        <v>1564</v>
      </c>
      <c r="D33" t="s">
        <v>1565</v>
      </c>
      <c r="E33" t="s">
        <v>1440</v>
      </c>
      <c r="F33" t="s">
        <v>1563</v>
      </c>
    </row>
    <row r="34" spans="1:6" x14ac:dyDescent="0.5">
      <c r="A34" t="s">
        <v>170</v>
      </c>
      <c r="B34" t="s">
        <v>169</v>
      </c>
      <c r="C34" t="s">
        <v>1567</v>
      </c>
      <c r="D34" t="s">
        <v>1568</v>
      </c>
      <c r="E34" t="s">
        <v>1443</v>
      </c>
      <c r="F34" t="s">
        <v>1566</v>
      </c>
    </row>
    <row r="35" spans="1:6" x14ac:dyDescent="0.5">
      <c r="A35" t="s">
        <v>483</v>
      </c>
      <c r="B35" t="s">
        <v>482</v>
      </c>
      <c r="C35" t="s">
        <v>1570</v>
      </c>
      <c r="D35" t="s">
        <v>1571</v>
      </c>
      <c r="E35" t="s">
        <v>1444</v>
      </c>
      <c r="F35" t="s">
        <v>1569</v>
      </c>
    </row>
    <row r="36" spans="1:6" x14ac:dyDescent="0.5">
      <c r="A36" t="s">
        <v>608</v>
      </c>
      <c r="B36" t="s">
        <v>607</v>
      </c>
      <c r="C36" t="s">
        <v>1573</v>
      </c>
      <c r="D36" t="s">
        <v>1465</v>
      </c>
      <c r="E36" t="s">
        <v>1449</v>
      </c>
      <c r="F36" t="s">
        <v>1572</v>
      </c>
    </row>
    <row r="37" spans="1:6" x14ac:dyDescent="0.5">
      <c r="A37" t="s">
        <v>606</v>
      </c>
      <c r="B37" t="s">
        <v>605</v>
      </c>
      <c r="C37" t="s">
        <v>1575</v>
      </c>
      <c r="D37" t="s">
        <v>1576</v>
      </c>
      <c r="E37" t="s">
        <v>1441</v>
      </c>
      <c r="F37" t="s">
        <v>1574</v>
      </c>
    </row>
    <row r="38" spans="1:6" x14ac:dyDescent="0.5">
      <c r="A38" t="s">
        <v>443</v>
      </c>
      <c r="B38" t="s">
        <v>442</v>
      </c>
      <c r="C38" t="s">
        <v>1578</v>
      </c>
      <c r="D38" t="s">
        <v>1579</v>
      </c>
      <c r="E38" t="s">
        <v>1451</v>
      </c>
      <c r="F38" t="s">
        <v>1577</v>
      </c>
    </row>
    <row r="39" spans="1:6" x14ac:dyDescent="0.5">
      <c r="A39" t="s">
        <v>625</v>
      </c>
      <c r="B39" t="s">
        <v>624</v>
      </c>
      <c r="C39" t="s">
        <v>1581</v>
      </c>
      <c r="D39" t="s">
        <v>1582</v>
      </c>
      <c r="E39" t="s">
        <v>1444</v>
      </c>
      <c r="F39" t="s">
        <v>1580</v>
      </c>
    </row>
    <row r="40" spans="1:6" x14ac:dyDescent="0.5">
      <c r="A40" t="s">
        <v>184</v>
      </c>
      <c r="B40" t="s">
        <v>183</v>
      </c>
      <c r="C40" t="s">
        <v>1584</v>
      </c>
      <c r="D40" t="s">
        <v>1585</v>
      </c>
      <c r="E40" t="s">
        <v>1443</v>
      </c>
      <c r="F40" t="s">
        <v>1583</v>
      </c>
    </row>
    <row r="41" spans="1:6" x14ac:dyDescent="0.5">
      <c r="A41" t="s">
        <v>186</v>
      </c>
      <c r="B41" t="s">
        <v>185</v>
      </c>
      <c r="C41" t="s">
        <v>1587</v>
      </c>
      <c r="D41" t="s">
        <v>1585</v>
      </c>
      <c r="E41" t="s">
        <v>1443</v>
      </c>
      <c r="F41" t="s">
        <v>1586</v>
      </c>
    </row>
    <row r="42" spans="1:6" x14ac:dyDescent="0.5">
      <c r="A42" t="s">
        <v>190</v>
      </c>
      <c r="B42" t="s">
        <v>189</v>
      </c>
      <c r="C42" t="s">
        <v>1589</v>
      </c>
      <c r="D42" t="s">
        <v>1590</v>
      </c>
      <c r="E42" t="s">
        <v>1443</v>
      </c>
      <c r="F42" t="s">
        <v>1588</v>
      </c>
    </row>
    <row r="43" spans="1:6" x14ac:dyDescent="0.5">
      <c r="A43" t="s">
        <v>194</v>
      </c>
      <c r="B43" t="s">
        <v>193</v>
      </c>
      <c r="C43" t="s">
        <v>1592</v>
      </c>
      <c r="D43" t="s">
        <v>1585</v>
      </c>
      <c r="E43" t="s">
        <v>1443</v>
      </c>
      <c r="F43" t="s">
        <v>1591</v>
      </c>
    </row>
    <row r="44" spans="1:6" x14ac:dyDescent="0.5">
      <c r="A44" t="s">
        <v>203</v>
      </c>
      <c r="B44" t="s">
        <v>202</v>
      </c>
      <c r="C44" t="s">
        <v>1594</v>
      </c>
      <c r="D44" t="s">
        <v>1595</v>
      </c>
      <c r="E44" t="s">
        <v>1445</v>
      </c>
      <c r="F44" t="s">
        <v>1593</v>
      </c>
    </row>
    <row r="45" spans="1:6" x14ac:dyDescent="0.5">
      <c r="A45" t="s">
        <v>367</v>
      </c>
      <c r="B45" t="s">
        <v>366</v>
      </c>
      <c r="C45" t="s">
        <v>1597</v>
      </c>
      <c r="D45" t="s">
        <v>1598</v>
      </c>
      <c r="E45" t="s">
        <v>1446</v>
      </c>
      <c r="F45" t="s">
        <v>1596</v>
      </c>
    </row>
    <row r="46" spans="1:6" x14ac:dyDescent="0.5">
      <c r="A46" t="s">
        <v>350</v>
      </c>
      <c r="B46" t="s">
        <v>349</v>
      </c>
      <c r="C46" t="s">
        <v>1600</v>
      </c>
      <c r="D46" t="s">
        <v>1601</v>
      </c>
      <c r="E46" t="s">
        <v>1449</v>
      </c>
      <c r="F46" t="s">
        <v>1599</v>
      </c>
    </row>
    <row r="47" spans="1:6" x14ac:dyDescent="0.5">
      <c r="A47" t="s">
        <v>356</v>
      </c>
      <c r="B47" t="s">
        <v>355</v>
      </c>
      <c r="C47" t="s">
        <v>1603</v>
      </c>
      <c r="D47" t="s">
        <v>1604</v>
      </c>
      <c r="E47" t="s">
        <v>1449</v>
      </c>
      <c r="F47" t="s">
        <v>1602</v>
      </c>
    </row>
    <row r="48" spans="1:6" x14ac:dyDescent="0.5">
      <c r="A48" t="s">
        <v>576</v>
      </c>
      <c r="B48" t="s">
        <v>575</v>
      </c>
      <c r="C48" t="s">
        <v>1606</v>
      </c>
      <c r="D48" t="s">
        <v>1607</v>
      </c>
      <c r="E48" t="s">
        <v>1449</v>
      </c>
      <c r="F48" t="s">
        <v>1605</v>
      </c>
    </row>
    <row r="49" spans="1:6" x14ac:dyDescent="0.5">
      <c r="A49" t="s">
        <v>572</v>
      </c>
      <c r="B49" t="s">
        <v>571</v>
      </c>
      <c r="C49" t="s">
        <v>1609</v>
      </c>
      <c r="D49" t="s">
        <v>1610</v>
      </c>
      <c r="E49" t="s">
        <v>1454</v>
      </c>
      <c r="F49" t="s">
        <v>1608</v>
      </c>
    </row>
    <row r="50" spans="1:6" x14ac:dyDescent="0.5">
      <c r="A50" t="s">
        <v>199</v>
      </c>
      <c r="B50" t="s">
        <v>198</v>
      </c>
      <c r="C50" t="s">
        <v>1612</v>
      </c>
      <c r="D50" t="s">
        <v>1585</v>
      </c>
      <c r="E50" t="s">
        <v>1443</v>
      </c>
      <c r="F50" t="s">
        <v>1611</v>
      </c>
    </row>
    <row r="51" spans="1:6" x14ac:dyDescent="0.5">
      <c r="A51" t="s">
        <v>230</v>
      </c>
      <c r="B51" t="s">
        <v>1613</v>
      </c>
      <c r="C51" t="s">
        <v>1615</v>
      </c>
      <c r="D51" t="s">
        <v>1616</v>
      </c>
      <c r="E51" t="s">
        <v>1448</v>
      </c>
      <c r="F51" t="s">
        <v>1614</v>
      </c>
    </row>
    <row r="52" spans="1:6" x14ac:dyDescent="0.5">
      <c r="A52" t="s">
        <v>201</v>
      </c>
      <c r="B52" t="s">
        <v>200</v>
      </c>
      <c r="C52" t="s">
        <v>1618</v>
      </c>
      <c r="D52" t="s">
        <v>1585</v>
      </c>
      <c r="E52" t="s">
        <v>1443</v>
      </c>
      <c r="F52" t="s">
        <v>1617</v>
      </c>
    </row>
    <row r="53" spans="1:6" x14ac:dyDescent="0.5">
      <c r="A53" t="s">
        <v>154</v>
      </c>
      <c r="B53" t="s">
        <v>153</v>
      </c>
      <c r="C53" t="s">
        <v>1620</v>
      </c>
      <c r="D53" t="s">
        <v>1621</v>
      </c>
      <c r="E53" t="s">
        <v>1451</v>
      </c>
      <c r="F53" t="s">
        <v>1619</v>
      </c>
    </row>
    <row r="54" spans="1:6" x14ac:dyDescent="0.5">
      <c r="A54" t="s">
        <v>642</v>
      </c>
      <c r="B54" t="s">
        <v>1622</v>
      </c>
      <c r="C54" t="s">
        <v>1624</v>
      </c>
      <c r="D54" t="s">
        <v>1625</v>
      </c>
      <c r="E54" t="s">
        <v>204</v>
      </c>
      <c r="F54" t="s">
        <v>1623</v>
      </c>
    </row>
    <row r="55" spans="1:6" x14ac:dyDescent="0.5">
      <c r="A55" t="s">
        <v>563</v>
      </c>
      <c r="B55" t="s">
        <v>562</v>
      </c>
      <c r="C55" t="s">
        <v>1627</v>
      </c>
      <c r="D55" t="s">
        <v>1628</v>
      </c>
      <c r="E55" t="s">
        <v>1440</v>
      </c>
      <c r="F55" t="s">
        <v>1626</v>
      </c>
    </row>
    <row r="56" spans="1:6" x14ac:dyDescent="0.5">
      <c r="A56" t="s">
        <v>621</v>
      </c>
      <c r="B56" t="s">
        <v>620</v>
      </c>
      <c r="C56" t="s">
        <v>1630</v>
      </c>
      <c r="D56" t="s">
        <v>1631</v>
      </c>
      <c r="E56" t="s">
        <v>1446</v>
      </c>
      <c r="F56" t="s">
        <v>1629</v>
      </c>
    </row>
    <row r="57" spans="1:6" x14ac:dyDescent="0.5">
      <c r="A57" t="s">
        <v>574</v>
      </c>
      <c r="B57" t="s">
        <v>573</v>
      </c>
      <c r="C57" t="s">
        <v>1633</v>
      </c>
      <c r="D57" t="s">
        <v>1634</v>
      </c>
      <c r="E57" t="s">
        <v>1441</v>
      </c>
      <c r="F57" t="s">
        <v>1632</v>
      </c>
    </row>
    <row r="58" spans="1:6" x14ac:dyDescent="0.5">
      <c r="A58" t="s">
        <v>213</v>
      </c>
      <c r="B58" t="s">
        <v>212</v>
      </c>
      <c r="C58" t="s">
        <v>1636</v>
      </c>
      <c r="D58" t="s">
        <v>1585</v>
      </c>
      <c r="E58" t="s">
        <v>1443</v>
      </c>
      <c r="F58" t="s">
        <v>1635</v>
      </c>
    </row>
    <row r="59" spans="1:6" x14ac:dyDescent="0.5">
      <c r="A59" t="s">
        <v>140</v>
      </c>
      <c r="B59" t="s">
        <v>139</v>
      </c>
      <c r="C59" t="s">
        <v>1638</v>
      </c>
      <c r="D59" t="s">
        <v>1639</v>
      </c>
      <c r="E59" t="s">
        <v>1448</v>
      </c>
      <c r="F59" t="s">
        <v>1637</v>
      </c>
    </row>
    <row r="60" spans="1:6" x14ac:dyDescent="0.5">
      <c r="A60" t="s">
        <v>234</v>
      </c>
      <c r="B60" t="s">
        <v>1640</v>
      </c>
      <c r="C60" t="s">
        <v>1642</v>
      </c>
      <c r="D60" t="s">
        <v>1643</v>
      </c>
      <c r="E60" t="s">
        <v>1443</v>
      </c>
      <c r="F60" t="s">
        <v>1641</v>
      </c>
    </row>
    <row r="61" spans="1:6" x14ac:dyDescent="0.5">
      <c r="A61" t="s">
        <v>542</v>
      </c>
      <c r="B61" t="s">
        <v>541</v>
      </c>
      <c r="C61" t="s">
        <v>1645</v>
      </c>
      <c r="D61" t="s">
        <v>1646</v>
      </c>
      <c r="E61" t="s">
        <v>1440</v>
      </c>
      <c r="F61" t="s">
        <v>1644</v>
      </c>
    </row>
    <row r="62" spans="1:6" x14ac:dyDescent="0.5">
      <c r="A62" t="s">
        <v>314</v>
      </c>
      <c r="B62" t="s">
        <v>313</v>
      </c>
      <c r="C62" t="s">
        <v>749</v>
      </c>
      <c r="D62" t="s">
        <v>1648</v>
      </c>
      <c r="E62" t="s">
        <v>1453</v>
      </c>
      <c r="F62" t="s">
        <v>1647</v>
      </c>
    </row>
    <row r="63" spans="1:6" x14ac:dyDescent="0.5">
      <c r="A63" t="s">
        <v>375</v>
      </c>
      <c r="B63" t="s">
        <v>374</v>
      </c>
      <c r="C63" t="s">
        <v>1650</v>
      </c>
      <c r="D63" t="s">
        <v>1651</v>
      </c>
      <c r="E63" t="s">
        <v>1449</v>
      </c>
      <c r="F63" t="s">
        <v>1649</v>
      </c>
    </row>
    <row r="64" spans="1:6" x14ac:dyDescent="0.5">
      <c r="A64" t="s">
        <v>435</v>
      </c>
      <c r="B64" t="s">
        <v>434</v>
      </c>
      <c r="C64" t="s">
        <v>1653</v>
      </c>
      <c r="D64" t="s">
        <v>1654</v>
      </c>
      <c r="E64" t="s">
        <v>1440</v>
      </c>
      <c r="F64" t="s">
        <v>1652</v>
      </c>
    </row>
    <row r="65" spans="1:6" x14ac:dyDescent="0.5">
      <c r="A65" t="s">
        <v>466</v>
      </c>
      <c r="B65" t="s">
        <v>465</v>
      </c>
      <c r="C65" t="s">
        <v>1656</v>
      </c>
      <c r="D65" t="s">
        <v>1657</v>
      </c>
      <c r="E65" t="s">
        <v>1456</v>
      </c>
      <c r="F65" t="s">
        <v>1655</v>
      </c>
    </row>
    <row r="66" spans="1:6" x14ac:dyDescent="0.5">
      <c r="A66" t="s">
        <v>246</v>
      </c>
      <c r="B66" t="s">
        <v>245</v>
      </c>
      <c r="C66" t="s">
        <v>747</v>
      </c>
      <c r="D66" t="s">
        <v>1659</v>
      </c>
      <c r="E66" t="s">
        <v>1444</v>
      </c>
      <c r="F66" t="s">
        <v>1658</v>
      </c>
    </row>
    <row r="67" spans="1:6" x14ac:dyDescent="0.5">
      <c r="A67" t="s">
        <v>238</v>
      </c>
      <c r="B67" t="s">
        <v>237</v>
      </c>
      <c r="C67" t="s">
        <v>1661</v>
      </c>
      <c r="D67" t="s">
        <v>1585</v>
      </c>
      <c r="E67" t="s">
        <v>1443</v>
      </c>
      <c r="F67" t="s">
        <v>1660</v>
      </c>
    </row>
    <row r="68" spans="1:6" x14ac:dyDescent="0.5">
      <c r="A68" t="s">
        <v>248</v>
      </c>
      <c r="B68" t="s">
        <v>247</v>
      </c>
      <c r="C68" t="s">
        <v>1663</v>
      </c>
      <c r="D68" t="s">
        <v>1664</v>
      </c>
      <c r="E68" t="s">
        <v>1442</v>
      </c>
      <c r="F68" t="s">
        <v>1662</v>
      </c>
    </row>
    <row r="69" spans="1:6" x14ac:dyDescent="0.5">
      <c r="A69" t="s">
        <v>490</v>
      </c>
      <c r="B69" t="s">
        <v>489</v>
      </c>
      <c r="C69" t="s">
        <v>1666</v>
      </c>
      <c r="D69" t="s">
        <v>1667</v>
      </c>
      <c r="E69" t="s">
        <v>1459</v>
      </c>
      <c r="F69" t="s">
        <v>1665</v>
      </c>
    </row>
    <row r="70" spans="1:6" x14ac:dyDescent="0.5">
      <c r="A70" t="s">
        <v>327</v>
      </c>
      <c r="B70" t="s">
        <v>326</v>
      </c>
      <c r="C70" t="s">
        <v>1669</v>
      </c>
      <c r="D70" t="s">
        <v>1585</v>
      </c>
      <c r="E70" t="s">
        <v>1443</v>
      </c>
      <c r="F70" t="s">
        <v>1668</v>
      </c>
    </row>
    <row r="71" spans="1:6" x14ac:dyDescent="0.5">
      <c r="A71" t="s">
        <v>252</v>
      </c>
      <c r="B71" t="s">
        <v>251</v>
      </c>
      <c r="C71" t="s">
        <v>1671</v>
      </c>
      <c r="D71" t="s">
        <v>1672</v>
      </c>
      <c r="E71" t="s">
        <v>1443</v>
      </c>
      <c r="F71" t="s">
        <v>1670</v>
      </c>
    </row>
    <row r="72" spans="1:6" x14ac:dyDescent="0.5">
      <c r="A72" t="s">
        <v>324</v>
      </c>
      <c r="B72" t="s">
        <v>323</v>
      </c>
      <c r="C72" t="s">
        <v>1674</v>
      </c>
      <c r="D72" t="s">
        <v>1675</v>
      </c>
      <c r="E72" t="s">
        <v>1444</v>
      </c>
      <c r="F72" t="s">
        <v>1673</v>
      </c>
    </row>
    <row r="73" spans="1:6" x14ac:dyDescent="0.5">
      <c r="A73" t="s">
        <v>494</v>
      </c>
      <c r="B73" t="s">
        <v>493</v>
      </c>
      <c r="C73" t="s">
        <v>1677</v>
      </c>
      <c r="D73" t="s">
        <v>1678</v>
      </c>
      <c r="E73" t="s">
        <v>1449</v>
      </c>
      <c r="F73" t="s">
        <v>1676</v>
      </c>
    </row>
    <row r="74" spans="1:6" x14ac:dyDescent="0.5">
      <c r="A74" t="s">
        <v>636</v>
      </c>
      <c r="B74" t="s">
        <v>635</v>
      </c>
      <c r="C74" t="s">
        <v>1680</v>
      </c>
      <c r="D74" t="s">
        <v>1681</v>
      </c>
      <c r="E74" t="s">
        <v>1449</v>
      </c>
      <c r="F74" t="s">
        <v>1679</v>
      </c>
    </row>
    <row r="75" spans="1:6" x14ac:dyDescent="0.5">
      <c r="A75" t="s">
        <v>254</v>
      </c>
      <c r="B75" t="s">
        <v>253</v>
      </c>
      <c r="C75" t="s">
        <v>1683</v>
      </c>
      <c r="D75" t="s">
        <v>1684</v>
      </c>
      <c r="E75" t="s">
        <v>1443</v>
      </c>
      <c r="F75" t="s">
        <v>1682</v>
      </c>
    </row>
    <row r="76" spans="1:6" x14ac:dyDescent="0.5">
      <c r="A76" t="s">
        <v>260</v>
      </c>
      <c r="B76" t="s">
        <v>259</v>
      </c>
      <c r="C76" t="s">
        <v>1686</v>
      </c>
      <c r="D76" t="s">
        <v>1687</v>
      </c>
      <c r="E76" t="s">
        <v>1443</v>
      </c>
      <c r="F76" t="s">
        <v>1685</v>
      </c>
    </row>
    <row r="77" spans="1:6" x14ac:dyDescent="0.5">
      <c r="A77" t="s">
        <v>152</v>
      </c>
      <c r="B77" t="s">
        <v>151</v>
      </c>
      <c r="C77" t="s">
        <v>1689</v>
      </c>
      <c r="D77" t="s">
        <v>1690</v>
      </c>
      <c r="E77" t="s">
        <v>1441</v>
      </c>
      <c r="F77" t="s">
        <v>1688</v>
      </c>
    </row>
    <row r="78" spans="1:6" x14ac:dyDescent="0.5">
      <c r="A78" t="s">
        <v>441</v>
      </c>
      <c r="B78" t="s">
        <v>440</v>
      </c>
      <c r="C78" t="s">
        <v>1692</v>
      </c>
      <c r="D78" t="s">
        <v>1693</v>
      </c>
      <c r="E78" t="s">
        <v>1440</v>
      </c>
      <c r="F78" t="s">
        <v>1691</v>
      </c>
    </row>
    <row r="79" spans="1:6" x14ac:dyDescent="0.5">
      <c r="A79" t="s">
        <v>352</v>
      </c>
      <c r="B79" t="s">
        <v>351</v>
      </c>
      <c r="C79" t="s">
        <v>1695</v>
      </c>
      <c r="D79" t="s">
        <v>1696</v>
      </c>
      <c r="E79" t="s">
        <v>1451</v>
      </c>
      <c r="F79" t="s">
        <v>1694</v>
      </c>
    </row>
    <row r="80" spans="1:6" x14ac:dyDescent="0.5">
      <c r="A80" t="s">
        <v>339</v>
      </c>
      <c r="B80" t="s">
        <v>338</v>
      </c>
      <c r="C80" t="s">
        <v>1698</v>
      </c>
      <c r="D80" t="s">
        <v>1699</v>
      </c>
      <c r="E80" t="s">
        <v>1452</v>
      </c>
      <c r="F80" t="s">
        <v>1697</v>
      </c>
    </row>
    <row r="81" spans="1:6" x14ac:dyDescent="0.5">
      <c r="A81" t="s">
        <v>271</v>
      </c>
      <c r="B81" t="s">
        <v>270</v>
      </c>
      <c r="C81" t="s">
        <v>1701</v>
      </c>
      <c r="D81" t="s">
        <v>1702</v>
      </c>
      <c r="E81" t="s">
        <v>1454</v>
      </c>
      <c r="F81" t="s">
        <v>1700</v>
      </c>
    </row>
    <row r="82" spans="1:6" x14ac:dyDescent="0.5">
      <c r="A82" t="s">
        <v>236</v>
      </c>
      <c r="B82" t="s">
        <v>235</v>
      </c>
      <c r="C82" t="s">
        <v>1704</v>
      </c>
      <c r="D82" t="s">
        <v>1705</v>
      </c>
      <c r="E82" t="s">
        <v>1454</v>
      </c>
      <c r="F82" t="s">
        <v>1703</v>
      </c>
    </row>
    <row r="83" spans="1:6" x14ac:dyDescent="0.5">
      <c r="A83" t="s">
        <v>242</v>
      </c>
      <c r="B83" t="s">
        <v>241</v>
      </c>
      <c r="C83" t="s">
        <v>1707</v>
      </c>
      <c r="D83" t="s">
        <v>1708</v>
      </c>
      <c r="E83" t="s">
        <v>1444</v>
      </c>
      <c r="F83" t="s">
        <v>1706</v>
      </c>
    </row>
    <row r="84" spans="1:6" x14ac:dyDescent="0.5">
      <c r="A84" t="s">
        <v>302</v>
      </c>
      <c r="B84" t="s">
        <v>301</v>
      </c>
      <c r="C84" t="s">
        <v>1157</v>
      </c>
      <c r="D84" t="s">
        <v>1710</v>
      </c>
      <c r="E84" t="s">
        <v>1443</v>
      </c>
      <c r="F84" t="s">
        <v>1709</v>
      </c>
    </row>
    <row r="85" spans="1:6" x14ac:dyDescent="0.5">
      <c r="A85" t="s">
        <v>310</v>
      </c>
      <c r="B85" t="s">
        <v>309</v>
      </c>
      <c r="C85" t="s">
        <v>1712</v>
      </c>
      <c r="D85" t="s">
        <v>1713</v>
      </c>
      <c r="E85" t="s">
        <v>1443</v>
      </c>
      <c r="F85" t="s">
        <v>1711</v>
      </c>
    </row>
    <row r="86" spans="1:6" x14ac:dyDescent="0.5">
      <c r="A86" t="s">
        <v>165</v>
      </c>
      <c r="B86" t="s">
        <v>164</v>
      </c>
      <c r="C86" t="s">
        <v>1715</v>
      </c>
      <c r="D86" t="s">
        <v>1716</v>
      </c>
      <c r="E86" t="s">
        <v>1444</v>
      </c>
      <c r="F86" t="s">
        <v>1714</v>
      </c>
    </row>
    <row r="87" spans="1:6" x14ac:dyDescent="0.5">
      <c r="A87" t="s">
        <v>329</v>
      </c>
      <c r="B87" t="s">
        <v>328</v>
      </c>
      <c r="C87" t="s">
        <v>1718</v>
      </c>
      <c r="D87" t="s">
        <v>1585</v>
      </c>
      <c r="E87" t="s">
        <v>1443</v>
      </c>
      <c r="F87" t="s">
        <v>1717</v>
      </c>
    </row>
    <row r="88" spans="1:6" x14ac:dyDescent="0.5">
      <c r="A88" t="s">
        <v>365</v>
      </c>
      <c r="B88" t="s">
        <v>364</v>
      </c>
      <c r="C88" t="s">
        <v>1720</v>
      </c>
      <c r="D88" t="s">
        <v>1721</v>
      </c>
      <c r="E88" t="s">
        <v>1449</v>
      </c>
      <c r="F88" t="s">
        <v>1719</v>
      </c>
    </row>
    <row r="89" spans="1:6" x14ac:dyDescent="0.5">
      <c r="A89" t="s">
        <v>449</v>
      </c>
      <c r="B89" t="s">
        <v>448</v>
      </c>
      <c r="C89" t="s">
        <v>1723</v>
      </c>
      <c r="D89" t="s">
        <v>1723</v>
      </c>
      <c r="E89" t="s">
        <v>1447</v>
      </c>
      <c r="F89" t="s">
        <v>1722</v>
      </c>
    </row>
    <row r="90" spans="1:6" x14ac:dyDescent="0.5">
      <c r="A90" t="s">
        <v>188</v>
      </c>
      <c r="B90" t="s">
        <v>187</v>
      </c>
      <c r="C90" t="s">
        <v>1725</v>
      </c>
      <c r="D90" t="s">
        <v>1726</v>
      </c>
      <c r="E90" t="s">
        <v>1440</v>
      </c>
      <c r="F90" t="s">
        <v>1724</v>
      </c>
    </row>
    <row r="91" spans="1:6" x14ac:dyDescent="0.5">
      <c r="A91" t="s">
        <v>545</v>
      </c>
      <c r="B91" t="s">
        <v>1727</v>
      </c>
      <c r="C91" t="s">
        <v>1729</v>
      </c>
      <c r="D91" t="s">
        <v>1730</v>
      </c>
      <c r="E91" t="s">
        <v>1448</v>
      </c>
      <c r="F91" t="s">
        <v>1728</v>
      </c>
    </row>
    <row r="92" spans="1:6" x14ac:dyDescent="0.5">
      <c r="A92" t="s">
        <v>181</v>
      </c>
      <c r="B92" t="s">
        <v>180</v>
      </c>
      <c r="C92" t="s">
        <v>1732</v>
      </c>
      <c r="D92" t="s">
        <v>1733</v>
      </c>
      <c r="E92" t="s">
        <v>1452</v>
      </c>
      <c r="F92" t="s">
        <v>1731</v>
      </c>
    </row>
    <row r="93" spans="1:6" x14ac:dyDescent="0.5">
      <c r="A93" t="s">
        <v>470</v>
      </c>
      <c r="B93" t="s">
        <v>469</v>
      </c>
      <c r="C93" t="s">
        <v>1735</v>
      </c>
      <c r="D93" t="s">
        <v>1736</v>
      </c>
      <c r="E93" t="s">
        <v>1449</v>
      </c>
      <c r="F93" t="s">
        <v>1734</v>
      </c>
    </row>
    <row r="94" spans="1:6" x14ac:dyDescent="0.5">
      <c r="A94" t="s">
        <v>598</v>
      </c>
      <c r="B94" t="s">
        <v>597</v>
      </c>
      <c r="C94" t="s">
        <v>1738</v>
      </c>
      <c r="D94" t="s">
        <v>1739</v>
      </c>
      <c r="E94" t="s">
        <v>1446</v>
      </c>
      <c r="F94" t="s">
        <v>1737</v>
      </c>
    </row>
    <row r="95" spans="1:6" x14ac:dyDescent="0.5">
      <c r="A95" t="s">
        <v>385</v>
      </c>
      <c r="B95" t="s">
        <v>384</v>
      </c>
      <c r="C95" t="s">
        <v>1741</v>
      </c>
      <c r="D95" t="s">
        <v>1585</v>
      </c>
      <c r="E95" t="s">
        <v>1443</v>
      </c>
      <c r="F95" t="s">
        <v>1740</v>
      </c>
    </row>
    <row r="96" spans="1:6" x14ac:dyDescent="0.5">
      <c r="A96" t="s">
        <v>221</v>
      </c>
      <c r="B96" t="s">
        <v>1742</v>
      </c>
      <c r="C96" t="s">
        <v>1744</v>
      </c>
      <c r="D96" t="s">
        <v>1745</v>
      </c>
      <c r="E96" t="s">
        <v>1443</v>
      </c>
      <c r="F96" t="s">
        <v>1743</v>
      </c>
    </row>
    <row r="97" spans="1:6" x14ac:dyDescent="0.5">
      <c r="A97" t="s">
        <v>476</v>
      </c>
      <c r="B97" t="s">
        <v>475</v>
      </c>
      <c r="C97" t="s">
        <v>1747</v>
      </c>
      <c r="D97" t="s">
        <v>1748</v>
      </c>
      <c r="E97" t="s">
        <v>1444</v>
      </c>
      <c r="F97" t="s">
        <v>1746</v>
      </c>
    </row>
    <row r="98" spans="1:6" x14ac:dyDescent="0.5">
      <c r="A98" t="s">
        <v>369</v>
      </c>
      <c r="B98" t="s">
        <v>368</v>
      </c>
      <c r="C98" t="s">
        <v>1750</v>
      </c>
      <c r="D98" t="s">
        <v>1751</v>
      </c>
      <c r="E98" t="s">
        <v>1443</v>
      </c>
      <c r="F98" t="s">
        <v>1749</v>
      </c>
    </row>
    <row r="99" spans="1:6" x14ac:dyDescent="0.5">
      <c r="A99" t="s">
        <v>387</v>
      </c>
      <c r="B99" t="s">
        <v>386</v>
      </c>
      <c r="C99" t="s">
        <v>1753</v>
      </c>
      <c r="D99" t="s">
        <v>1585</v>
      </c>
      <c r="E99" t="s">
        <v>1443</v>
      </c>
      <c r="F99" t="s">
        <v>1752</v>
      </c>
    </row>
    <row r="100" spans="1:6" x14ac:dyDescent="0.5">
      <c r="A100" t="s">
        <v>397</v>
      </c>
      <c r="B100" t="s">
        <v>396</v>
      </c>
      <c r="C100" t="s">
        <v>1755</v>
      </c>
      <c r="D100" t="s">
        <v>1585</v>
      </c>
      <c r="E100" t="s">
        <v>1443</v>
      </c>
      <c r="F100" t="s">
        <v>1754</v>
      </c>
    </row>
    <row r="101" spans="1:6" x14ac:dyDescent="0.5">
      <c r="A101" t="s">
        <v>480</v>
      </c>
      <c r="B101" t="s">
        <v>479</v>
      </c>
      <c r="C101" t="s">
        <v>1757</v>
      </c>
      <c r="D101" t="s">
        <v>1758</v>
      </c>
      <c r="E101" t="s">
        <v>1444</v>
      </c>
      <c r="F101" t="s">
        <v>1756</v>
      </c>
    </row>
    <row r="102" spans="1:6" x14ac:dyDescent="0.5">
      <c r="A102" t="s">
        <v>219</v>
      </c>
      <c r="B102" t="s">
        <v>218</v>
      </c>
      <c r="C102" t="s">
        <v>1760</v>
      </c>
      <c r="D102" t="s">
        <v>1761</v>
      </c>
      <c r="E102" t="s">
        <v>1444</v>
      </c>
      <c r="F102" t="s">
        <v>1759</v>
      </c>
    </row>
    <row r="103" spans="1:6" x14ac:dyDescent="0.5">
      <c r="A103" t="s">
        <v>389</v>
      </c>
      <c r="B103" t="s">
        <v>388</v>
      </c>
      <c r="C103" t="s">
        <v>1763</v>
      </c>
      <c r="D103" t="s">
        <v>1764</v>
      </c>
      <c r="E103" t="s">
        <v>1442</v>
      </c>
      <c r="F103" t="s">
        <v>1762</v>
      </c>
    </row>
    <row r="104" spans="1:6" x14ac:dyDescent="0.5">
      <c r="A104" t="s">
        <v>225</v>
      </c>
      <c r="B104" t="s">
        <v>224</v>
      </c>
      <c r="C104" t="s">
        <v>1766</v>
      </c>
      <c r="D104" t="s">
        <v>1767</v>
      </c>
      <c r="E104" t="s">
        <v>1444</v>
      </c>
      <c r="F104" t="s">
        <v>1765</v>
      </c>
    </row>
    <row r="105" spans="1:6" x14ac:dyDescent="0.5">
      <c r="A105" t="s">
        <v>383</v>
      </c>
      <c r="B105" t="s">
        <v>382</v>
      </c>
      <c r="C105" t="s">
        <v>1769</v>
      </c>
      <c r="D105" t="s">
        <v>1770</v>
      </c>
      <c r="E105" t="s">
        <v>1449</v>
      </c>
      <c r="F105" t="s">
        <v>1768</v>
      </c>
    </row>
    <row r="106" spans="1:6" x14ac:dyDescent="0.5">
      <c r="A106" t="s">
        <v>399</v>
      </c>
      <c r="B106" t="s">
        <v>398</v>
      </c>
      <c r="C106" t="s">
        <v>1772</v>
      </c>
      <c r="D106" t="s">
        <v>1585</v>
      </c>
      <c r="E106" t="s">
        <v>1443</v>
      </c>
      <c r="F106" t="s">
        <v>1771</v>
      </c>
    </row>
    <row r="107" spans="1:6" x14ac:dyDescent="0.5">
      <c r="A107" t="s">
        <v>535</v>
      </c>
      <c r="B107" t="s">
        <v>534</v>
      </c>
      <c r="C107" t="s">
        <v>1774</v>
      </c>
      <c r="D107" t="s">
        <v>1775</v>
      </c>
      <c r="E107" t="s">
        <v>1441</v>
      </c>
      <c r="F107" t="s">
        <v>1773</v>
      </c>
    </row>
    <row r="108" spans="1:6" x14ac:dyDescent="0.5">
      <c r="A108" t="s">
        <v>337</v>
      </c>
      <c r="B108" t="s">
        <v>336</v>
      </c>
      <c r="C108" t="s">
        <v>1777</v>
      </c>
      <c r="D108" t="s">
        <v>1778</v>
      </c>
      <c r="E108" t="s">
        <v>1444</v>
      </c>
      <c r="F108" t="s">
        <v>1776</v>
      </c>
    </row>
    <row r="109" spans="1:6" x14ac:dyDescent="0.5">
      <c r="A109" t="s">
        <v>142</v>
      </c>
      <c r="B109" t="s">
        <v>141</v>
      </c>
      <c r="C109" t="s">
        <v>1780</v>
      </c>
      <c r="D109" t="s">
        <v>1781</v>
      </c>
      <c r="E109" t="s">
        <v>1446</v>
      </c>
      <c r="F109" t="s">
        <v>1779</v>
      </c>
    </row>
    <row r="110" spans="1:6" x14ac:dyDescent="0.5">
      <c r="A110" t="s">
        <v>405</v>
      </c>
      <c r="B110" t="s">
        <v>404</v>
      </c>
      <c r="C110" t="s">
        <v>1783</v>
      </c>
      <c r="D110" t="s">
        <v>1585</v>
      </c>
      <c r="E110" t="s">
        <v>1443</v>
      </c>
      <c r="F110" t="s">
        <v>1782</v>
      </c>
    </row>
    <row r="111" spans="1:6" x14ac:dyDescent="0.5">
      <c r="A111" t="s">
        <v>413</v>
      </c>
      <c r="B111" t="s">
        <v>412</v>
      </c>
      <c r="C111" t="s">
        <v>1785</v>
      </c>
      <c r="D111" t="s">
        <v>1585</v>
      </c>
      <c r="E111" t="s">
        <v>1443</v>
      </c>
      <c r="F111" t="s">
        <v>1784</v>
      </c>
    </row>
    <row r="112" spans="1:6" x14ac:dyDescent="0.5">
      <c r="A112" t="s">
        <v>507</v>
      </c>
      <c r="B112" t="s">
        <v>506</v>
      </c>
      <c r="C112" t="s">
        <v>1787</v>
      </c>
      <c r="D112" t="s">
        <v>1585</v>
      </c>
      <c r="E112" t="s">
        <v>1443</v>
      </c>
      <c r="F112" t="s">
        <v>1786</v>
      </c>
    </row>
    <row r="113" spans="1:6" x14ac:dyDescent="0.5">
      <c r="A113" t="s">
        <v>379</v>
      </c>
      <c r="B113" t="s">
        <v>1788</v>
      </c>
      <c r="C113" t="s">
        <v>1790</v>
      </c>
      <c r="D113" t="s">
        <v>379</v>
      </c>
      <c r="E113" t="s">
        <v>1440</v>
      </c>
      <c r="F113" t="s">
        <v>1789</v>
      </c>
    </row>
    <row r="114" spans="1:6" x14ac:dyDescent="0.5">
      <c r="A114" t="s">
        <v>425</v>
      </c>
      <c r="B114" t="s">
        <v>424</v>
      </c>
      <c r="C114" t="s">
        <v>1792</v>
      </c>
      <c r="D114" t="s">
        <v>1793</v>
      </c>
      <c r="E114" t="s">
        <v>1440</v>
      </c>
      <c r="F114" t="s">
        <v>1791</v>
      </c>
    </row>
    <row r="115" spans="1:6" x14ac:dyDescent="0.5">
      <c r="A115" t="s">
        <v>619</v>
      </c>
      <c r="B115" t="s">
        <v>618</v>
      </c>
      <c r="C115" t="s">
        <v>1795</v>
      </c>
      <c r="D115" t="s">
        <v>1796</v>
      </c>
      <c r="E115" t="s">
        <v>1444</v>
      </c>
      <c r="F115" t="s">
        <v>1794</v>
      </c>
    </row>
    <row r="116" spans="1:6" x14ac:dyDescent="0.5">
      <c r="A116" t="s">
        <v>333</v>
      </c>
      <c r="B116" t="s">
        <v>332</v>
      </c>
      <c r="C116" t="s">
        <v>1798</v>
      </c>
      <c r="D116" t="s">
        <v>1799</v>
      </c>
      <c r="E116" t="s">
        <v>1444</v>
      </c>
      <c r="F116" t="s">
        <v>1797</v>
      </c>
    </row>
    <row r="117" spans="1:6" x14ac:dyDescent="0.5">
      <c r="A117" t="s">
        <v>146</v>
      </c>
      <c r="B117" t="s">
        <v>145</v>
      </c>
      <c r="C117" t="s">
        <v>1801</v>
      </c>
      <c r="D117" t="s">
        <v>1802</v>
      </c>
      <c r="E117" t="s">
        <v>1449</v>
      </c>
      <c r="F117" t="s">
        <v>1800</v>
      </c>
    </row>
    <row r="118" spans="1:6" x14ac:dyDescent="0.5">
      <c r="A118" t="s">
        <v>223</v>
      </c>
      <c r="B118" t="s">
        <v>222</v>
      </c>
      <c r="C118" t="s">
        <v>1804</v>
      </c>
      <c r="D118" t="s">
        <v>1805</v>
      </c>
      <c r="E118" t="s">
        <v>1452</v>
      </c>
      <c r="F118" t="s">
        <v>1803</v>
      </c>
    </row>
    <row r="119" spans="1:6" x14ac:dyDescent="0.5">
      <c r="A119" t="s">
        <v>578</v>
      </c>
      <c r="B119" t="s">
        <v>577</v>
      </c>
      <c r="C119" t="s">
        <v>1807</v>
      </c>
      <c r="D119" t="s">
        <v>1808</v>
      </c>
      <c r="E119" t="s">
        <v>1446</v>
      </c>
      <c r="F119" t="s">
        <v>1806</v>
      </c>
    </row>
    <row r="120" spans="1:6" x14ac:dyDescent="0.5">
      <c r="A120" t="s">
        <v>528</v>
      </c>
      <c r="B120" t="s">
        <v>527</v>
      </c>
      <c r="C120" t="s">
        <v>1810</v>
      </c>
      <c r="D120" t="s">
        <v>1585</v>
      </c>
      <c r="E120" t="s">
        <v>1443</v>
      </c>
      <c r="F120" t="s">
        <v>1809</v>
      </c>
    </row>
    <row r="121" spans="1:6" x14ac:dyDescent="0.5">
      <c r="A121" t="s">
        <v>537</v>
      </c>
      <c r="B121" t="s">
        <v>536</v>
      </c>
      <c r="C121" t="s">
        <v>1812</v>
      </c>
      <c r="D121" t="s">
        <v>1585</v>
      </c>
      <c r="E121" t="s">
        <v>1443</v>
      </c>
      <c r="F121" t="s">
        <v>1811</v>
      </c>
    </row>
    <row r="122" spans="1:6" x14ac:dyDescent="0.5">
      <c r="A122" t="s">
        <v>250</v>
      </c>
      <c r="B122" t="s">
        <v>249</v>
      </c>
      <c r="C122" t="s">
        <v>1814</v>
      </c>
      <c r="D122" t="s">
        <v>1815</v>
      </c>
      <c r="E122" t="s">
        <v>1444</v>
      </c>
      <c r="F122" t="s">
        <v>1813</v>
      </c>
    </row>
    <row r="123" spans="1:6" x14ac:dyDescent="0.5">
      <c r="A123" t="s">
        <v>393</v>
      </c>
      <c r="B123" t="s">
        <v>392</v>
      </c>
      <c r="C123" t="s">
        <v>1817</v>
      </c>
      <c r="D123" t="s">
        <v>1818</v>
      </c>
      <c r="E123" t="s">
        <v>1448</v>
      </c>
      <c r="F123" t="s">
        <v>1816</v>
      </c>
    </row>
    <row r="124" spans="1:6" x14ac:dyDescent="0.5">
      <c r="A124" t="s">
        <v>547</v>
      </c>
      <c r="B124" t="s">
        <v>546</v>
      </c>
      <c r="C124" t="s">
        <v>1820</v>
      </c>
      <c r="D124" t="s">
        <v>1821</v>
      </c>
      <c r="E124" t="s">
        <v>1452</v>
      </c>
      <c r="F124" t="s">
        <v>1819</v>
      </c>
    </row>
    <row r="125" spans="1:6" x14ac:dyDescent="0.5">
      <c r="A125" t="s">
        <v>451</v>
      </c>
      <c r="B125" t="s">
        <v>450</v>
      </c>
      <c r="C125" t="s">
        <v>1823</v>
      </c>
      <c r="D125" t="s">
        <v>1824</v>
      </c>
      <c r="E125" t="s">
        <v>1444</v>
      </c>
      <c r="F125" t="s">
        <v>1822</v>
      </c>
    </row>
    <row r="126" spans="1:6" x14ac:dyDescent="0.5">
      <c r="A126" t="s">
        <v>415</v>
      </c>
      <c r="B126" t="s">
        <v>414</v>
      </c>
      <c r="C126" t="s">
        <v>1826</v>
      </c>
      <c r="D126" t="s">
        <v>1827</v>
      </c>
      <c r="E126" t="s">
        <v>1443</v>
      </c>
      <c r="F126" t="s">
        <v>1825</v>
      </c>
    </row>
    <row r="127" spans="1:6" x14ac:dyDescent="0.5">
      <c r="A127" t="s">
        <v>417</v>
      </c>
      <c r="B127" t="s">
        <v>416</v>
      </c>
      <c r="C127" t="s">
        <v>1829</v>
      </c>
      <c r="D127" t="s">
        <v>125</v>
      </c>
      <c r="E127" t="s">
        <v>292</v>
      </c>
      <c r="F127" t="s">
        <v>1828</v>
      </c>
    </row>
    <row r="128" spans="1:6" x14ac:dyDescent="0.5">
      <c r="A128" t="s">
        <v>306</v>
      </c>
      <c r="B128" t="s">
        <v>305</v>
      </c>
      <c r="C128" t="s">
        <v>1831</v>
      </c>
      <c r="D128" t="s">
        <v>1832</v>
      </c>
      <c r="E128" t="s">
        <v>1446</v>
      </c>
      <c r="F128" t="s">
        <v>1830</v>
      </c>
    </row>
    <row r="129" spans="1:6" x14ac:dyDescent="0.5">
      <c r="A129" t="s">
        <v>168</v>
      </c>
      <c r="B129" t="s">
        <v>167</v>
      </c>
      <c r="C129" t="s">
        <v>1834</v>
      </c>
      <c r="D129" t="s">
        <v>1835</v>
      </c>
      <c r="E129" t="s">
        <v>1441</v>
      </c>
      <c r="F129" t="s">
        <v>1833</v>
      </c>
    </row>
    <row r="130" spans="1:6" x14ac:dyDescent="0.5">
      <c r="A130" t="s">
        <v>431</v>
      </c>
      <c r="B130" t="s">
        <v>430</v>
      </c>
      <c r="C130" t="s">
        <v>1837</v>
      </c>
      <c r="D130" t="s">
        <v>1838</v>
      </c>
      <c r="E130" t="s">
        <v>1442</v>
      </c>
      <c r="F130" t="s">
        <v>1836</v>
      </c>
    </row>
    <row r="131" spans="1:6" x14ac:dyDescent="0.5">
      <c r="A131" t="s">
        <v>377</v>
      </c>
      <c r="B131" t="s">
        <v>1839</v>
      </c>
      <c r="C131" t="s">
        <v>1841</v>
      </c>
      <c r="D131" t="s">
        <v>1842</v>
      </c>
      <c r="E131" t="s">
        <v>1446</v>
      </c>
      <c r="F131" t="s">
        <v>1840</v>
      </c>
    </row>
    <row r="132" spans="1:6" x14ac:dyDescent="0.5">
      <c r="A132" t="s">
        <v>433</v>
      </c>
      <c r="B132" t="s">
        <v>432</v>
      </c>
      <c r="C132" t="s">
        <v>1844</v>
      </c>
      <c r="D132" t="s">
        <v>1845</v>
      </c>
      <c r="E132" t="s">
        <v>1443</v>
      </c>
      <c r="F132" t="s">
        <v>1843</v>
      </c>
    </row>
    <row r="133" spans="1:6" x14ac:dyDescent="0.5">
      <c r="A133" t="s">
        <v>437</v>
      </c>
      <c r="B133" t="s">
        <v>436</v>
      </c>
      <c r="C133" t="s">
        <v>1158</v>
      </c>
      <c r="D133" t="s">
        <v>1847</v>
      </c>
      <c r="E133" t="s">
        <v>1443</v>
      </c>
      <c r="F133" t="s">
        <v>1846</v>
      </c>
    </row>
    <row r="134" spans="1:6" x14ac:dyDescent="0.5">
      <c r="A134" t="s">
        <v>381</v>
      </c>
      <c r="B134" t="s">
        <v>380</v>
      </c>
      <c r="C134" t="s">
        <v>1849</v>
      </c>
      <c r="D134" t="s">
        <v>1850</v>
      </c>
      <c r="E134" t="s">
        <v>1448</v>
      </c>
      <c r="F134" t="s">
        <v>1848</v>
      </c>
    </row>
    <row r="135" spans="1:6" x14ac:dyDescent="0.5">
      <c r="A135" t="s">
        <v>453</v>
      </c>
      <c r="B135" t="s">
        <v>452</v>
      </c>
      <c r="C135" t="s">
        <v>1852</v>
      </c>
      <c r="D135" t="s">
        <v>1853</v>
      </c>
      <c r="E135" t="s">
        <v>1443</v>
      </c>
      <c r="F135" t="s">
        <v>1851</v>
      </c>
    </row>
    <row r="136" spans="1:6" x14ac:dyDescent="0.5">
      <c r="A136" t="s">
        <v>455</v>
      </c>
      <c r="B136" t="s">
        <v>454</v>
      </c>
      <c r="C136" t="s">
        <v>1855</v>
      </c>
      <c r="D136" t="s">
        <v>1856</v>
      </c>
      <c r="E136" t="s">
        <v>1443</v>
      </c>
      <c r="F136" t="s">
        <v>1854</v>
      </c>
    </row>
    <row r="137" spans="1:6" x14ac:dyDescent="0.5">
      <c r="A137" t="s">
        <v>460</v>
      </c>
      <c r="B137" t="s">
        <v>1857</v>
      </c>
      <c r="C137" t="s">
        <v>1859</v>
      </c>
      <c r="D137" t="s">
        <v>1860</v>
      </c>
      <c r="E137" t="s">
        <v>1441</v>
      </c>
      <c r="F137" t="s">
        <v>1858</v>
      </c>
    </row>
    <row r="138" spans="1:6" x14ac:dyDescent="0.5">
      <c r="A138" t="s">
        <v>395</v>
      </c>
      <c r="B138" t="s">
        <v>394</v>
      </c>
      <c r="C138" t="s">
        <v>1862</v>
      </c>
      <c r="D138" t="s">
        <v>1863</v>
      </c>
      <c r="E138" t="s">
        <v>1451</v>
      </c>
      <c r="F138" t="s">
        <v>1861</v>
      </c>
    </row>
    <row r="139" spans="1:6" x14ac:dyDescent="0.5">
      <c r="A139" t="s">
        <v>565</v>
      </c>
      <c r="B139" t="s">
        <v>1864</v>
      </c>
      <c r="C139" t="s">
        <v>1866</v>
      </c>
      <c r="D139" t="s">
        <v>1867</v>
      </c>
      <c r="E139" t="s">
        <v>1449</v>
      </c>
      <c r="F139" t="s">
        <v>1865</v>
      </c>
    </row>
    <row r="140" spans="1:6" x14ac:dyDescent="0.5">
      <c r="A140" t="s">
        <v>113</v>
      </c>
      <c r="B140" t="s">
        <v>112</v>
      </c>
      <c r="C140" t="s">
        <v>1869</v>
      </c>
      <c r="D140" t="s">
        <v>1870</v>
      </c>
      <c r="E140" t="s">
        <v>1441</v>
      </c>
      <c r="F140" t="s">
        <v>1868</v>
      </c>
    </row>
    <row r="141" spans="1:6" x14ac:dyDescent="0.5">
      <c r="A141" t="s">
        <v>215</v>
      </c>
      <c r="B141" t="s">
        <v>1871</v>
      </c>
      <c r="C141" t="s">
        <v>1873</v>
      </c>
      <c r="D141" t="s">
        <v>1874</v>
      </c>
      <c r="E141" t="s">
        <v>1443</v>
      </c>
      <c r="F141" t="s">
        <v>1872</v>
      </c>
    </row>
    <row r="142" spans="1:6" x14ac:dyDescent="0.5">
      <c r="A142" t="s">
        <v>256</v>
      </c>
      <c r="B142" t="s">
        <v>255</v>
      </c>
      <c r="C142" t="s">
        <v>1876</v>
      </c>
      <c r="D142" t="s">
        <v>1877</v>
      </c>
      <c r="E142" t="s">
        <v>1448</v>
      </c>
      <c r="F142" t="s">
        <v>1875</v>
      </c>
    </row>
    <row r="143" spans="1:6" x14ac:dyDescent="0.5">
      <c r="A143" t="s">
        <v>539</v>
      </c>
      <c r="B143" t="s">
        <v>538</v>
      </c>
      <c r="C143" t="s">
        <v>1879</v>
      </c>
      <c r="D143" t="s">
        <v>1585</v>
      </c>
      <c r="E143" t="s">
        <v>1443</v>
      </c>
      <c r="F143" t="s">
        <v>1878</v>
      </c>
    </row>
    <row r="144" spans="1:6" x14ac:dyDescent="0.5">
      <c r="A144" t="s">
        <v>592</v>
      </c>
      <c r="B144" t="s">
        <v>591</v>
      </c>
      <c r="C144" t="s">
        <v>1881</v>
      </c>
      <c r="D144" t="s">
        <v>1882</v>
      </c>
      <c r="E144" t="s">
        <v>1444</v>
      </c>
      <c r="F144" t="s">
        <v>1880</v>
      </c>
    </row>
    <row r="145" spans="1:6" x14ac:dyDescent="0.5">
      <c r="A145" t="s">
        <v>551</v>
      </c>
      <c r="B145" t="s">
        <v>550</v>
      </c>
      <c r="C145" t="s">
        <v>1884</v>
      </c>
      <c r="D145" t="s">
        <v>1585</v>
      </c>
      <c r="E145" t="s">
        <v>1443</v>
      </c>
      <c r="F145" t="s">
        <v>1883</v>
      </c>
    </row>
    <row r="146" spans="1:6" x14ac:dyDescent="0.5">
      <c r="A146" t="s">
        <v>258</v>
      </c>
      <c r="B146" t="s">
        <v>1885</v>
      </c>
      <c r="C146" t="s">
        <v>1887</v>
      </c>
      <c r="D146" t="s">
        <v>1585</v>
      </c>
      <c r="E146" t="s">
        <v>1443</v>
      </c>
      <c r="F146" t="s">
        <v>1886</v>
      </c>
    </row>
    <row r="147" spans="1:6" x14ac:dyDescent="0.5">
      <c r="A147" t="s">
        <v>132</v>
      </c>
      <c r="B147" t="s">
        <v>131</v>
      </c>
      <c r="C147" t="s">
        <v>1889</v>
      </c>
      <c r="D147" t="s">
        <v>1890</v>
      </c>
      <c r="E147" t="s">
        <v>1446</v>
      </c>
      <c r="F147" t="s">
        <v>1888</v>
      </c>
    </row>
    <row r="148" spans="1:6" x14ac:dyDescent="0.5">
      <c r="A148" t="s">
        <v>304</v>
      </c>
      <c r="B148" t="s">
        <v>1891</v>
      </c>
      <c r="C148" t="s">
        <v>1893</v>
      </c>
      <c r="D148" t="s">
        <v>1585</v>
      </c>
      <c r="E148" t="s">
        <v>1443</v>
      </c>
      <c r="F148" t="s">
        <v>1892</v>
      </c>
    </row>
    <row r="149" spans="1:6" x14ac:dyDescent="0.5">
      <c r="A149" t="s">
        <v>498</v>
      </c>
      <c r="B149" t="s">
        <v>1894</v>
      </c>
      <c r="C149" t="s">
        <v>1896</v>
      </c>
      <c r="D149" t="s">
        <v>1897</v>
      </c>
      <c r="E149" t="s">
        <v>1441</v>
      </c>
      <c r="F149" t="s">
        <v>1895</v>
      </c>
    </row>
    <row r="150" spans="1:6" x14ac:dyDescent="0.5">
      <c r="A150" t="s">
        <v>360</v>
      </c>
      <c r="B150" t="s">
        <v>359</v>
      </c>
      <c r="C150" t="s">
        <v>1899</v>
      </c>
      <c r="D150" t="s">
        <v>1900</v>
      </c>
      <c r="E150" t="s">
        <v>1444</v>
      </c>
      <c r="F150" t="s">
        <v>1898</v>
      </c>
    </row>
    <row r="151" spans="1:6" x14ac:dyDescent="0.5">
      <c r="A151" t="s">
        <v>228</v>
      </c>
      <c r="B151" t="s">
        <v>227</v>
      </c>
      <c r="C151" t="s">
        <v>1902</v>
      </c>
      <c r="D151" t="s">
        <v>1903</v>
      </c>
      <c r="E151" t="s">
        <v>1453</v>
      </c>
      <c r="F151" t="s">
        <v>1901</v>
      </c>
    </row>
    <row r="152" spans="1:6" x14ac:dyDescent="0.5">
      <c r="A152" t="s">
        <v>179</v>
      </c>
      <c r="B152" t="s">
        <v>1904</v>
      </c>
      <c r="C152" t="s">
        <v>1906</v>
      </c>
      <c r="D152" t="s">
        <v>1907</v>
      </c>
      <c r="E152" t="s">
        <v>1440</v>
      </c>
      <c r="F152" t="s">
        <v>1905</v>
      </c>
    </row>
    <row r="153" spans="1:6" x14ac:dyDescent="0.5">
      <c r="A153" t="s">
        <v>533</v>
      </c>
      <c r="B153" t="s">
        <v>532</v>
      </c>
      <c r="C153" t="s">
        <v>1909</v>
      </c>
      <c r="D153" t="s">
        <v>1910</v>
      </c>
      <c r="E153" t="s">
        <v>1443</v>
      </c>
      <c r="F153" t="s">
        <v>1908</v>
      </c>
    </row>
    <row r="154" spans="1:6" x14ac:dyDescent="0.5">
      <c r="A154" t="s">
        <v>604</v>
      </c>
      <c r="B154" t="s">
        <v>603</v>
      </c>
      <c r="C154" t="s">
        <v>1912</v>
      </c>
      <c r="D154" t="s">
        <v>1585</v>
      </c>
      <c r="E154" t="s">
        <v>1443</v>
      </c>
      <c r="F154" t="s">
        <v>1911</v>
      </c>
    </row>
    <row r="155" spans="1:6" x14ac:dyDescent="0.5">
      <c r="A155" t="s">
        <v>341</v>
      </c>
      <c r="B155" t="s">
        <v>340</v>
      </c>
      <c r="C155" t="s">
        <v>1914</v>
      </c>
      <c r="D155" t="s">
        <v>1915</v>
      </c>
      <c r="E155" t="s">
        <v>1456</v>
      </c>
      <c r="F155" t="s">
        <v>1913</v>
      </c>
    </row>
    <row r="156" spans="1:6" x14ac:dyDescent="0.5">
      <c r="A156" t="s">
        <v>108</v>
      </c>
      <c r="B156" t="s">
        <v>107</v>
      </c>
      <c r="C156" t="s">
        <v>1917</v>
      </c>
      <c r="D156" t="s">
        <v>1918</v>
      </c>
      <c r="E156" t="s">
        <v>1440</v>
      </c>
      <c r="F156" t="s">
        <v>1916</v>
      </c>
    </row>
    <row r="157" spans="1:6" x14ac:dyDescent="0.5">
      <c r="A157" t="s">
        <v>478</v>
      </c>
      <c r="B157" t="s">
        <v>477</v>
      </c>
      <c r="C157" t="s">
        <v>1920</v>
      </c>
      <c r="D157" t="s">
        <v>1918</v>
      </c>
      <c r="E157" t="s">
        <v>1440</v>
      </c>
      <c r="F157" t="s">
        <v>1919</v>
      </c>
    </row>
    <row r="158" spans="1:6" x14ac:dyDescent="0.5">
      <c r="A158" t="s">
        <v>553</v>
      </c>
      <c r="B158" t="s">
        <v>552</v>
      </c>
      <c r="C158" t="s">
        <v>1922</v>
      </c>
      <c r="D158" t="s">
        <v>1923</v>
      </c>
      <c r="E158" t="s">
        <v>1461</v>
      </c>
      <c r="F158" t="s">
        <v>1921</v>
      </c>
    </row>
    <row r="159" spans="1:6" x14ac:dyDescent="0.5">
      <c r="A159" t="s">
        <v>557</v>
      </c>
      <c r="B159" t="s">
        <v>556</v>
      </c>
      <c r="C159" t="s">
        <v>1925</v>
      </c>
      <c r="D159" t="s">
        <v>1926</v>
      </c>
      <c r="E159" t="s">
        <v>1443</v>
      </c>
      <c r="F159" t="s">
        <v>1924</v>
      </c>
    </row>
    <row r="160" spans="1:6" x14ac:dyDescent="0.5">
      <c r="A160" t="s">
        <v>407</v>
      </c>
      <c r="B160" t="s">
        <v>406</v>
      </c>
      <c r="C160" t="s">
        <v>1928</v>
      </c>
      <c r="D160" t="s">
        <v>1929</v>
      </c>
      <c r="E160" t="s">
        <v>1453</v>
      </c>
      <c r="F160" t="s">
        <v>1927</v>
      </c>
    </row>
    <row r="161" spans="1:6" x14ac:dyDescent="0.5">
      <c r="A161" t="s">
        <v>643</v>
      </c>
      <c r="B161" t="s">
        <v>1930</v>
      </c>
      <c r="C161" t="s">
        <v>1932</v>
      </c>
      <c r="D161" t="s">
        <v>1918</v>
      </c>
      <c r="E161" t="s">
        <v>1440</v>
      </c>
      <c r="F161" t="s">
        <v>1931</v>
      </c>
    </row>
    <row r="162" spans="1:6" x14ac:dyDescent="0.5">
      <c r="A162" t="s">
        <v>569</v>
      </c>
      <c r="B162" t="s">
        <v>568</v>
      </c>
      <c r="C162" t="s">
        <v>1934</v>
      </c>
      <c r="D162" t="s">
        <v>1935</v>
      </c>
      <c r="E162" t="s">
        <v>1444</v>
      </c>
      <c r="F162" t="s">
        <v>1933</v>
      </c>
    </row>
    <row r="163" spans="1:6" x14ac:dyDescent="0.5">
      <c r="A163" t="s">
        <v>567</v>
      </c>
      <c r="B163" t="s">
        <v>566</v>
      </c>
      <c r="C163" t="s">
        <v>1937</v>
      </c>
      <c r="D163" t="s">
        <v>1938</v>
      </c>
      <c r="E163" t="s">
        <v>1443</v>
      </c>
      <c r="F163" t="s">
        <v>1936</v>
      </c>
    </row>
    <row r="164" spans="1:6" x14ac:dyDescent="0.5">
      <c r="A164" t="s">
        <v>427</v>
      </c>
      <c r="B164" t="s">
        <v>426</v>
      </c>
      <c r="C164" t="s">
        <v>1940</v>
      </c>
      <c r="D164" t="s">
        <v>1941</v>
      </c>
      <c r="E164" t="s">
        <v>1441</v>
      </c>
      <c r="F164" t="s">
        <v>1939</v>
      </c>
    </row>
    <row r="165" spans="1:6" x14ac:dyDescent="0.5">
      <c r="A165" t="s">
        <v>163</v>
      </c>
      <c r="B165" t="s">
        <v>162</v>
      </c>
      <c r="C165" t="s">
        <v>1943</v>
      </c>
      <c r="D165" t="s">
        <v>1918</v>
      </c>
      <c r="E165" t="s">
        <v>1440</v>
      </c>
      <c r="F165" t="s">
        <v>1942</v>
      </c>
    </row>
    <row r="166" spans="1:6" x14ac:dyDescent="0.5">
      <c r="A166" t="s">
        <v>447</v>
      </c>
      <c r="B166" t="s">
        <v>446</v>
      </c>
      <c r="C166" t="s">
        <v>1945</v>
      </c>
      <c r="D166" t="s">
        <v>1918</v>
      </c>
      <c r="E166" t="s">
        <v>1440</v>
      </c>
      <c r="F166" t="s">
        <v>1944</v>
      </c>
    </row>
    <row r="167" spans="1:6" x14ac:dyDescent="0.5">
      <c r="A167" t="s">
        <v>269</v>
      </c>
      <c r="B167" t="s">
        <v>268</v>
      </c>
      <c r="C167" t="s">
        <v>1947</v>
      </c>
      <c r="D167" t="s">
        <v>1918</v>
      </c>
      <c r="E167" t="s">
        <v>1440</v>
      </c>
      <c r="F167" t="s">
        <v>1946</v>
      </c>
    </row>
    <row r="168" spans="1:6" x14ac:dyDescent="0.5">
      <c r="A168" t="s">
        <v>549</v>
      </c>
      <c r="B168" t="s">
        <v>548</v>
      </c>
      <c r="C168" t="s">
        <v>1949</v>
      </c>
      <c r="D168" t="s">
        <v>1918</v>
      </c>
      <c r="E168" t="s">
        <v>1440</v>
      </c>
      <c r="F168" t="s">
        <v>1948</v>
      </c>
    </row>
    <row r="169" spans="1:6" x14ac:dyDescent="0.5">
      <c r="A169" t="s">
        <v>403</v>
      </c>
      <c r="B169" t="s">
        <v>402</v>
      </c>
      <c r="C169" t="s">
        <v>1951</v>
      </c>
      <c r="D169" t="s">
        <v>1918</v>
      </c>
      <c r="E169" t="s">
        <v>1440</v>
      </c>
      <c r="F169" t="s">
        <v>1950</v>
      </c>
    </row>
    <row r="170" spans="1:6" x14ac:dyDescent="0.5">
      <c r="A170" t="s">
        <v>299</v>
      </c>
      <c r="B170" t="s">
        <v>298</v>
      </c>
      <c r="C170" t="s">
        <v>1953</v>
      </c>
      <c r="D170" t="s">
        <v>1918</v>
      </c>
      <c r="E170" t="s">
        <v>1440</v>
      </c>
      <c r="F170" t="s">
        <v>1952</v>
      </c>
    </row>
    <row r="171" spans="1:6" x14ac:dyDescent="0.5">
      <c r="A171" t="s">
        <v>623</v>
      </c>
      <c r="B171" t="s">
        <v>622</v>
      </c>
      <c r="C171" t="s">
        <v>1955</v>
      </c>
      <c r="D171" t="s">
        <v>1918</v>
      </c>
      <c r="E171" t="s">
        <v>1440</v>
      </c>
      <c r="F171" t="s">
        <v>1954</v>
      </c>
    </row>
    <row r="172" spans="1:6" x14ac:dyDescent="0.5">
      <c r="A172" t="s">
        <v>524</v>
      </c>
      <c r="B172" t="s">
        <v>523</v>
      </c>
      <c r="C172" t="s">
        <v>1957</v>
      </c>
      <c r="D172" t="s">
        <v>1918</v>
      </c>
      <c r="E172" t="s">
        <v>1440</v>
      </c>
      <c r="F172" t="s">
        <v>1956</v>
      </c>
    </row>
    <row r="173" spans="1:6" x14ac:dyDescent="0.5">
      <c r="A173" t="s">
        <v>580</v>
      </c>
      <c r="B173" t="s">
        <v>579</v>
      </c>
      <c r="C173" t="s">
        <v>1959</v>
      </c>
      <c r="D173" t="s">
        <v>1960</v>
      </c>
      <c r="E173" t="s">
        <v>1443</v>
      </c>
      <c r="F173" t="s">
        <v>1958</v>
      </c>
    </row>
    <row r="174" spans="1:6" x14ac:dyDescent="0.5">
      <c r="A174" t="s">
        <v>590</v>
      </c>
      <c r="B174" t="s">
        <v>589</v>
      </c>
      <c r="C174" t="s">
        <v>1962</v>
      </c>
      <c r="D174" t="s">
        <v>1918</v>
      </c>
      <c r="E174" t="s">
        <v>1440</v>
      </c>
      <c r="F174" t="s">
        <v>1961</v>
      </c>
    </row>
    <row r="175" spans="1:6" x14ac:dyDescent="0.5">
      <c r="A175" t="s">
        <v>371</v>
      </c>
      <c r="B175" t="s">
        <v>370</v>
      </c>
      <c r="C175" t="s">
        <v>1964</v>
      </c>
      <c r="D175" t="s">
        <v>1918</v>
      </c>
      <c r="E175" t="s">
        <v>1440</v>
      </c>
      <c r="F175" t="s">
        <v>1963</v>
      </c>
    </row>
    <row r="176" spans="1:6" x14ac:dyDescent="0.5">
      <c r="A176" t="s">
        <v>474</v>
      </c>
      <c r="B176" t="s">
        <v>473</v>
      </c>
      <c r="C176" t="s">
        <v>1966</v>
      </c>
      <c r="D176" t="s">
        <v>1918</v>
      </c>
      <c r="E176" t="s">
        <v>1440</v>
      </c>
      <c r="F176" t="s">
        <v>1965</v>
      </c>
    </row>
    <row r="177" spans="1:6" x14ac:dyDescent="0.5">
      <c r="A177" t="s">
        <v>586</v>
      </c>
      <c r="B177" t="s">
        <v>585</v>
      </c>
      <c r="C177" t="s">
        <v>1968</v>
      </c>
      <c r="D177" t="s">
        <v>1969</v>
      </c>
      <c r="E177" t="s">
        <v>1443</v>
      </c>
      <c r="F177" t="s">
        <v>1967</v>
      </c>
    </row>
    <row r="178" spans="1:6" x14ac:dyDescent="0.5">
      <c r="A178" t="s">
        <v>492</v>
      </c>
      <c r="B178" t="s">
        <v>491</v>
      </c>
      <c r="C178" t="s">
        <v>1971</v>
      </c>
      <c r="D178" t="s">
        <v>1972</v>
      </c>
      <c r="E178" t="s">
        <v>1444</v>
      </c>
      <c r="F178" t="s">
        <v>1970</v>
      </c>
    </row>
    <row r="179" spans="1:6" x14ac:dyDescent="0.5">
      <c r="A179" t="s">
        <v>144</v>
      </c>
      <c r="B179" t="s">
        <v>1973</v>
      </c>
      <c r="C179" t="s">
        <v>1975</v>
      </c>
      <c r="D179" t="s">
        <v>1972</v>
      </c>
      <c r="E179" t="s">
        <v>1444</v>
      </c>
      <c r="F179" t="s">
        <v>1974</v>
      </c>
    </row>
    <row r="180" spans="1:6" x14ac:dyDescent="0.5">
      <c r="A180" t="s">
        <v>331</v>
      </c>
      <c r="B180" t="s">
        <v>330</v>
      </c>
      <c r="C180" t="s">
        <v>1977</v>
      </c>
      <c r="D180" t="s">
        <v>1972</v>
      </c>
      <c r="E180" t="s">
        <v>1444</v>
      </c>
      <c r="F180" t="s">
        <v>1976</v>
      </c>
    </row>
    <row r="181" spans="1:6" x14ac:dyDescent="0.5">
      <c r="A181" t="s">
        <v>150</v>
      </c>
      <c r="B181" t="s">
        <v>149</v>
      </c>
      <c r="C181" t="s">
        <v>1979</v>
      </c>
      <c r="D181" t="s">
        <v>1972</v>
      </c>
      <c r="E181" t="s">
        <v>1444</v>
      </c>
      <c r="F181" t="s">
        <v>1978</v>
      </c>
    </row>
    <row r="182" spans="1:6" x14ac:dyDescent="0.5">
      <c r="A182" t="s">
        <v>157</v>
      </c>
      <c r="B182" t="s">
        <v>156</v>
      </c>
      <c r="C182" t="s">
        <v>1981</v>
      </c>
      <c r="D182" t="s">
        <v>1972</v>
      </c>
      <c r="E182" t="s">
        <v>1444</v>
      </c>
      <c r="F182" t="s">
        <v>1980</v>
      </c>
    </row>
    <row r="183" spans="1:6" x14ac:dyDescent="0.5">
      <c r="A183" t="s">
        <v>117</v>
      </c>
      <c r="B183" t="s">
        <v>116</v>
      </c>
      <c r="C183" t="s">
        <v>1983</v>
      </c>
      <c r="D183" t="s">
        <v>125</v>
      </c>
      <c r="E183" t="s">
        <v>1440</v>
      </c>
      <c r="F183" t="s">
        <v>1982</v>
      </c>
    </row>
    <row r="184" spans="1:6" x14ac:dyDescent="0.5">
      <c r="A184" t="s">
        <v>119</v>
      </c>
      <c r="B184" t="s">
        <v>118</v>
      </c>
      <c r="C184" t="s">
        <v>1985</v>
      </c>
      <c r="D184" t="s">
        <v>125</v>
      </c>
      <c r="E184" t="s">
        <v>1441</v>
      </c>
      <c r="F184" t="s">
        <v>1984</v>
      </c>
    </row>
    <row r="185" spans="1:6" x14ac:dyDescent="0.5">
      <c r="A185" t="s">
        <v>123</v>
      </c>
      <c r="B185" t="s">
        <v>122</v>
      </c>
      <c r="C185" t="s">
        <v>1987</v>
      </c>
      <c r="D185" t="s">
        <v>1972</v>
      </c>
      <c r="E185" t="s">
        <v>1444</v>
      </c>
      <c r="F185" t="s">
        <v>1986</v>
      </c>
    </row>
    <row r="186" spans="1:6" x14ac:dyDescent="0.5">
      <c r="A186" t="s">
        <v>516</v>
      </c>
      <c r="B186" t="s">
        <v>1988</v>
      </c>
      <c r="C186" t="s">
        <v>1990</v>
      </c>
      <c r="D186" t="s">
        <v>1972</v>
      </c>
      <c r="E186" t="s">
        <v>1444</v>
      </c>
      <c r="F186" t="s">
        <v>1989</v>
      </c>
    </row>
    <row r="187" spans="1:6" x14ac:dyDescent="0.5">
      <c r="A187" t="s">
        <v>521</v>
      </c>
      <c r="B187" t="s">
        <v>1992</v>
      </c>
      <c r="C187" t="s">
        <v>1994</v>
      </c>
      <c r="D187" t="s">
        <v>1972</v>
      </c>
      <c r="E187" t="s">
        <v>1444</v>
      </c>
      <c r="F187" t="s">
        <v>1993</v>
      </c>
    </row>
    <row r="188" spans="1:6" x14ac:dyDescent="0.5">
      <c r="A188" t="s">
        <v>177</v>
      </c>
      <c r="B188" t="s">
        <v>1995</v>
      </c>
      <c r="C188" t="s">
        <v>1997</v>
      </c>
      <c r="D188" t="s">
        <v>1972</v>
      </c>
      <c r="E188" t="s">
        <v>1444</v>
      </c>
      <c r="F188" t="s">
        <v>1996</v>
      </c>
    </row>
    <row r="189" spans="1:6" x14ac:dyDescent="0.5">
      <c r="A189" t="s">
        <v>134</v>
      </c>
      <c r="B189" t="s">
        <v>133</v>
      </c>
      <c r="C189" t="s">
        <v>1999</v>
      </c>
      <c r="D189" t="s">
        <v>1972</v>
      </c>
      <c r="E189" t="s">
        <v>1444</v>
      </c>
      <c r="F189" t="s">
        <v>1998</v>
      </c>
    </row>
    <row r="190" spans="1:6" x14ac:dyDescent="0.5">
      <c r="A190" t="s">
        <v>1471</v>
      </c>
      <c r="B190" t="s">
        <v>2000</v>
      </c>
      <c r="C190" t="s">
        <v>2002</v>
      </c>
      <c r="D190" t="s">
        <v>125</v>
      </c>
      <c r="E190" t="s">
        <v>1441</v>
      </c>
      <c r="F190" t="s">
        <v>2001</v>
      </c>
    </row>
    <row r="191" spans="1:6" x14ac:dyDescent="0.5">
      <c r="A191" t="s">
        <v>217</v>
      </c>
      <c r="B191" t="s">
        <v>216</v>
      </c>
      <c r="C191" t="s">
        <v>2004</v>
      </c>
      <c r="D191" t="s">
        <v>1918</v>
      </c>
      <c r="E191" t="s">
        <v>1440</v>
      </c>
      <c r="F191" t="s">
        <v>2003</v>
      </c>
    </row>
    <row r="192" spans="1:6" x14ac:dyDescent="0.5">
      <c r="A192" t="s">
        <v>232</v>
      </c>
      <c r="B192" t="s">
        <v>2005</v>
      </c>
      <c r="C192" t="s">
        <v>2007</v>
      </c>
      <c r="D192" t="s">
        <v>2008</v>
      </c>
      <c r="E192" t="s">
        <v>1440</v>
      </c>
      <c r="F192" t="s">
        <v>2006</v>
      </c>
    </row>
    <row r="193" spans="1:6" x14ac:dyDescent="0.5">
      <c r="A193" t="s">
        <v>594</v>
      </c>
      <c r="B193" t="s">
        <v>593</v>
      </c>
      <c r="C193" t="s">
        <v>2010</v>
      </c>
      <c r="D193" t="s">
        <v>2011</v>
      </c>
      <c r="E193" t="s">
        <v>1442</v>
      </c>
      <c r="F193" t="s">
        <v>2009</v>
      </c>
    </row>
    <row r="194" spans="1:6" x14ac:dyDescent="0.5">
      <c r="A194" t="s">
        <v>127</v>
      </c>
      <c r="B194" t="s">
        <v>126</v>
      </c>
      <c r="C194" t="s">
        <v>2013</v>
      </c>
      <c r="D194" t="s">
        <v>1972</v>
      </c>
      <c r="E194" t="s">
        <v>1444</v>
      </c>
      <c r="F194" t="s">
        <v>2012</v>
      </c>
    </row>
    <row r="195" spans="1:6" x14ac:dyDescent="0.5">
      <c r="A195" t="s">
        <v>267</v>
      </c>
      <c r="B195" t="s">
        <v>2014</v>
      </c>
      <c r="C195" t="s">
        <v>2016</v>
      </c>
      <c r="D195" t="s">
        <v>1972</v>
      </c>
      <c r="E195" t="s">
        <v>1444</v>
      </c>
      <c r="F195" t="s">
        <v>2015</v>
      </c>
    </row>
    <row r="196" spans="1:6" x14ac:dyDescent="0.5">
      <c r="A196" t="s">
        <v>265</v>
      </c>
      <c r="B196" t="s">
        <v>2017</v>
      </c>
      <c r="C196" t="s">
        <v>2019</v>
      </c>
      <c r="D196" t="s">
        <v>125</v>
      </c>
      <c r="E196" t="s">
        <v>1441</v>
      </c>
      <c r="F196" t="s">
        <v>2018</v>
      </c>
    </row>
    <row r="197" spans="1:6" x14ac:dyDescent="0.5">
      <c r="A197" t="s">
        <v>297</v>
      </c>
      <c r="B197" t="s">
        <v>296</v>
      </c>
      <c r="C197" t="s">
        <v>2021</v>
      </c>
      <c r="D197" t="s">
        <v>1972</v>
      </c>
      <c r="E197" t="s">
        <v>1444</v>
      </c>
      <c r="F197" t="s">
        <v>2020</v>
      </c>
    </row>
    <row r="198" spans="1:6" x14ac:dyDescent="0.5">
      <c r="A198" t="s">
        <v>312</v>
      </c>
      <c r="B198" t="s">
        <v>311</v>
      </c>
      <c r="C198" t="s">
        <v>2023</v>
      </c>
      <c r="D198" t="s">
        <v>2024</v>
      </c>
      <c r="E198" t="s">
        <v>1455</v>
      </c>
      <c r="F198" t="s">
        <v>2022</v>
      </c>
    </row>
    <row r="199" spans="1:6" x14ac:dyDescent="0.5">
      <c r="A199" t="s">
        <v>316</v>
      </c>
      <c r="B199" t="s">
        <v>315</v>
      </c>
      <c r="C199" t="s">
        <v>2026</v>
      </c>
      <c r="D199" t="s">
        <v>125</v>
      </c>
      <c r="E199" t="s">
        <v>1441</v>
      </c>
      <c r="F199" t="s">
        <v>2025</v>
      </c>
    </row>
    <row r="200" spans="1:6" x14ac:dyDescent="0.5">
      <c r="A200" t="s">
        <v>161</v>
      </c>
      <c r="B200" t="s">
        <v>160</v>
      </c>
      <c r="C200" t="s">
        <v>2028</v>
      </c>
      <c r="D200" t="s">
        <v>1972</v>
      </c>
      <c r="E200" t="s">
        <v>1444</v>
      </c>
      <c r="F200" t="s">
        <v>2027</v>
      </c>
    </row>
    <row r="201" spans="1:6" x14ac:dyDescent="0.5">
      <c r="A201" t="s">
        <v>320</v>
      </c>
      <c r="B201" t="s">
        <v>319</v>
      </c>
      <c r="C201" t="s">
        <v>2030</v>
      </c>
      <c r="D201" t="s">
        <v>1972</v>
      </c>
      <c r="E201" t="s">
        <v>1444</v>
      </c>
      <c r="F201" t="s">
        <v>2029</v>
      </c>
    </row>
    <row r="202" spans="1:6" x14ac:dyDescent="0.5">
      <c r="A202" t="s">
        <v>322</v>
      </c>
      <c r="B202" t="s">
        <v>321</v>
      </c>
      <c r="C202" t="s">
        <v>2032</v>
      </c>
      <c r="D202" t="s">
        <v>125</v>
      </c>
      <c r="E202" t="s">
        <v>1440</v>
      </c>
      <c r="F202" t="s">
        <v>2031</v>
      </c>
    </row>
    <row r="203" spans="1:6" x14ac:dyDescent="0.5">
      <c r="A203" t="s">
        <v>354</v>
      </c>
      <c r="B203" t="s">
        <v>353</v>
      </c>
      <c r="C203" t="s">
        <v>2034</v>
      </c>
      <c r="D203" t="s">
        <v>125</v>
      </c>
      <c r="E203" t="s">
        <v>1441</v>
      </c>
      <c r="F203" t="s">
        <v>2033</v>
      </c>
    </row>
    <row r="204" spans="1:6" x14ac:dyDescent="0.5">
      <c r="A204" t="s">
        <v>197</v>
      </c>
      <c r="B204" t="s">
        <v>196</v>
      </c>
      <c r="C204" t="s">
        <v>2035</v>
      </c>
      <c r="D204" t="s">
        <v>1972</v>
      </c>
      <c r="E204" t="s">
        <v>1444</v>
      </c>
      <c r="F204" t="s">
        <v>2036</v>
      </c>
    </row>
    <row r="205" spans="1:6" x14ac:dyDescent="0.5">
      <c r="A205" t="s">
        <v>373</v>
      </c>
      <c r="B205" t="s">
        <v>372</v>
      </c>
      <c r="C205" t="s">
        <v>2038</v>
      </c>
      <c r="D205" t="s">
        <v>2039</v>
      </c>
      <c r="E205" t="s">
        <v>1441</v>
      </c>
      <c r="F205" t="s">
        <v>2037</v>
      </c>
    </row>
    <row r="206" spans="1:6" x14ac:dyDescent="0.5">
      <c r="A206" t="s">
        <v>391</v>
      </c>
      <c r="B206" t="s">
        <v>390</v>
      </c>
      <c r="C206" t="s">
        <v>2041</v>
      </c>
      <c r="D206" t="s">
        <v>125</v>
      </c>
      <c r="E206" t="s">
        <v>1441</v>
      </c>
      <c r="F206" t="s">
        <v>2040</v>
      </c>
    </row>
    <row r="207" spans="1:6" x14ac:dyDescent="0.5">
      <c r="A207" t="s">
        <v>409</v>
      </c>
      <c r="B207" t="s">
        <v>408</v>
      </c>
      <c r="C207" t="s">
        <v>2043</v>
      </c>
      <c r="D207" t="s">
        <v>125</v>
      </c>
      <c r="E207" t="s">
        <v>1440</v>
      </c>
      <c r="F207" t="s">
        <v>2042</v>
      </c>
    </row>
    <row r="208" spans="1:6" x14ac:dyDescent="0.5">
      <c r="A208" t="s">
        <v>411</v>
      </c>
      <c r="B208" t="s">
        <v>2044</v>
      </c>
      <c r="C208" t="s">
        <v>2046</v>
      </c>
      <c r="D208" t="s">
        <v>1972</v>
      </c>
      <c r="E208" t="s">
        <v>1444</v>
      </c>
      <c r="F208" t="s">
        <v>2045</v>
      </c>
    </row>
    <row r="209" spans="1:6" x14ac:dyDescent="0.5">
      <c r="A209" t="s">
        <v>240</v>
      </c>
      <c r="B209" t="s">
        <v>239</v>
      </c>
      <c r="C209" t="s">
        <v>2048</v>
      </c>
      <c r="D209" t="s">
        <v>1972</v>
      </c>
      <c r="E209" t="s">
        <v>1444</v>
      </c>
      <c r="F209" t="s">
        <v>2047</v>
      </c>
    </row>
    <row r="210" spans="1:6" x14ac:dyDescent="0.5">
      <c r="A210" t="s">
        <v>644</v>
      </c>
      <c r="B210" t="s">
        <v>2049</v>
      </c>
      <c r="C210" t="s">
        <v>2051</v>
      </c>
      <c r="D210" t="s">
        <v>125</v>
      </c>
      <c r="E210" t="s">
        <v>1440</v>
      </c>
      <c r="F210" t="s">
        <v>2050</v>
      </c>
    </row>
    <row r="211" spans="1:6" x14ac:dyDescent="0.5">
      <c r="A211" t="s">
        <v>423</v>
      </c>
      <c r="B211" t="s">
        <v>422</v>
      </c>
      <c r="C211" t="s">
        <v>2054</v>
      </c>
      <c r="D211" t="s">
        <v>125</v>
      </c>
      <c r="E211" t="s">
        <v>1441</v>
      </c>
      <c r="F211" t="s">
        <v>2053</v>
      </c>
    </row>
    <row r="212" spans="1:6" x14ac:dyDescent="0.5">
      <c r="A212" t="s">
        <v>429</v>
      </c>
      <c r="B212" t="s">
        <v>428</v>
      </c>
      <c r="C212" t="s">
        <v>2052</v>
      </c>
      <c r="D212" t="s">
        <v>1972</v>
      </c>
      <c r="E212" t="s">
        <v>1444</v>
      </c>
      <c r="F212" t="s">
        <v>2055</v>
      </c>
    </row>
    <row r="213" spans="1:6" x14ac:dyDescent="0.5">
      <c r="A213" t="s">
        <v>439</v>
      </c>
      <c r="B213" t="s">
        <v>438</v>
      </c>
      <c r="C213" t="s">
        <v>2057</v>
      </c>
      <c r="D213" t="s">
        <v>125</v>
      </c>
      <c r="E213" t="s">
        <v>1440</v>
      </c>
      <c r="F213" t="s">
        <v>2056</v>
      </c>
    </row>
    <row r="214" spans="1:6" x14ac:dyDescent="0.5">
      <c r="A214" t="s">
        <v>1458</v>
      </c>
      <c r="B214" t="s">
        <v>2058</v>
      </c>
      <c r="C214" t="s">
        <v>2060</v>
      </c>
      <c r="D214" t="s">
        <v>125</v>
      </c>
      <c r="E214" t="s">
        <v>1444</v>
      </c>
      <c r="F214" t="s">
        <v>2059</v>
      </c>
    </row>
    <row r="215" spans="1:6" x14ac:dyDescent="0.5">
      <c r="A215" t="s">
        <v>457</v>
      </c>
      <c r="B215" t="s">
        <v>456</v>
      </c>
      <c r="C215" t="s">
        <v>2062</v>
      </c>
      <c r="D215" t="s">
        <v>125</v>
      </c>
      <c r="E215" t="s">
        <v>1440</v>
      </c>
      <c r="F215" t="s">
        <v>2061</v>
      </c>
    </row>
    <row r="216" spans="1:6" x14ac:dyDescent="0.5">
      <c r="A216" t="s">
        <v>464</v>
      </c>
      <c r="B216" t="s">
        <v>463</v>
      </c>
      <c r="C216" t="s">
        <v>2064</v>
      </c>
      <c r="D216" t="s">
        <v>125</v>
      </c>
      <c r="E216" t="s">
        <v>1440</v>
      </c>
      <c r="F216" t="s">
        <v>2063</v>
      </c>
    </row>
    <row r="217" spans="1:6" x14ac:dyDescent="0.5">
      <c r="A217" t="s">
        <v>318</v>
      </c>
      <c r="B217" t="s">
        <v>317</v>
      </c>
      <c r="C217" t="s">
        <v>2066</v>
      </c>
      <c r="D217" t="s">
        <v>1972</v>
      </c>
      <c r="E217" t="s">
        <v>1444</v>
      </c>
      <c r="F217" t="s">
        <v>2065</v>
      </c>
    </row>
    <row r="218" spans="1:6" x14ac:dyDescent="0.5">
      <c r="A218" t="s">
        <v>501</v>
      </c>
      <c r="B218" t="s">
        <v>2067</v>
      </c>
      <c r="C218" t="s">
        <v>2069</v>
      </c>
      <c r="D218" t="s">
        <v>125</v>
      </c>
      <c r="E218" t="s">
        <v>292</v>
      </c>
      <c r="F218" t="s">
        <v>2068</v>
      </c>
    </row>
    <row r="219" spans="1:6" x14ac:dyDescent="0.5">
      <c r="A219" t="s">
        <v>503</v>
      </c>
      <c r="B219" t="s">
        <v>502</v>
      </c>
      <c r="C219" t="s">
        <v>2071</v>
      </c>
      <c r="D219" t="s">
        <v>2072</v>
      </c>
      <c r="E219" t="s">
        <v>1452</v>
      </c>
      <c r="F219" t="s">
        <v>2070</v>
      </c>
    </row>
    <row r="220" spans="1:6" x14ac:dyDescent="0.5">
      <c r="A220" t="s">
        <v>526</v>
      </c>
      <c r="B220" t="s">
        <v>525</v>
      </c>
      <c r="C220" t="s">
        <v>2074</v>
      </c>
      <c r="D220" t="s">
        <v>1520</v>
      </c>
      <c r="E220" t="s">
        <v>1453</v>
      </c>
      <c r="F220" t="s">
        <v>2073</v>
      </c>
    </row>
    <row r="221" spans="1:6" x14ac:dyDescent="0.5">
      <c r="A221" t="s">
        <v>638</v>
      </c>
      <c r="B221" t="s">
        <v>637</v>
      </c>
      <c r="C221" t="s">
        <v>2076</v>
      </c>
      <c r="D221" t="s">
        <v>2077</v>
      </c>
      <c r="E221" t="s">
        <v>1443</v>
      </c>
      <c r="F221" t="s">
        <v>2075</v>
      </c>
    </row>
    <row r="222" spans="1:6" x14ac:dyDescent="0.5">
      <c r="A222" t="s">
        <v>125</v>
      </c>
      <c r="B222" t="s">
        <v>543</v>
      </c>
      <c r="C222" t="s">
        <v>2079</v>
      </c>
      <c r="D222" t="s">
        <v>1972</v>
      </c>
      <c r="E222" t="s">
        <v>1444</v>
      </c>
      <c r="F222" t="s">
        <v>2078</v>
      </c>
    </row>
    <row r="223" spans="1:6" x14ac:dyDescent="0.5">
      <c r="A223" t="s">
        <v>640</v>
      </c>
      <c r="B223" t="s">
        <v>639</v>
      </c>
      <c r="C223" t="s">
        <v>2081</v>
      </c>
      <c r="D223" t="s">
        <v>2082</v>
      </c>
      <c r="E223" t="s">
        <v>1443</v>
      </c>
      <c r="F223" t="s">
        <v>2080</v>
      </c>
    </row>
    <row r="224" spans="1:6" x14ac:dyDescent="0.5">
      <c r="A224" t="s">
        <v>511</v>
      </c>
      <c r="B224" t="s">
        <v>2083</v>
      </c>
      <c r="C224" t="s">
        <v>1991</v>
      </c>
      <c r="D224" t="s">
        <v>125</v>
      </c>
      <c r="E224" t="s">
        <v>1455</v>
      </c>
      <c r="F224" t="s">
        <v>2084</v>
      </c>
    </row>
    <row r="225" spans="1:6" x14ac:dyDescent="0.5">
      <c r="A225" t="s">
        <v>513</v>
      </c>
      <c r="B225" t="s">
        <v>2085</v>
      </c>
      <c r="C225" t="s">
        <v>2087</v>
      </c>
      <c r="D225" t="s">
        <v>1972</v>
      </c>
      <c r="E225" t="s">
        <v>1444</v>
      </c>
      <c r="F225" t="s">
        <v>2086</v>
      </c>
    </row>
    <row r="226" spans="1:6" x14ac:dyDescent="0.5">
      <c r="A226" t="s">
        <v>519</v>
      </c>
      <c r="B226" t="s">
        <v>2088</v>
      </c>
      <c r="C226" t="s">
        <v>2090</v>
      </c>
      <c r="D226" t="s">
        <v>1972</v>
      </c>
      <c r="E226" t="s">
        <v>1444</v>
      </c>
      <c r="F226" t="s">
        <v>2089</v>
      </c>
    </row>
    <row r="227" spans="1:6" x14ac:dyDescent="0.5">
      <c r="A227" t="s">
        <v>584</v>
      </c>
      <c r="B227" t="s">
        <v>583</v>
      </c>
      <c r="C227" t="s">
        <v>2092</v>
      </c>
      <c r="D227" t="s">
        <v>125</v>
      </c>
      <c r="E227" t="s">
        <v>1440</v>
      </c>
      <c r="F227" t="s">
        <v>2091</v>
      </c>
    </row>
    <row r="228" spans="1:6" x14ac:dyDescent="0.5">
      <c r="A228" t="s">
        <v>588</v>
      </c>
      <c r="B228" t="s">
        <v>587</v>
      </c>
      <c r="C228" t="s">
        <v>2094</v>
      </c>
      <c r="D228" t="s">
        <v>125</v>
      </c>
      <c r="E228" t="s">
        <v>1440</v>
      </c>
      <c r="F228" t="s">
        <v>2093</v>
      </c>
    </row>
    <row r="229" spans="1:6" x14ac:dyDescent="0.5">
      <c r="A229" t="s">
        <v>600</v>
      </c>
      <c r="B229" t="s">
        <v>599</v>
      </c>
      <c r="C229" t="s">
        <v>2096</v>
      </c>
      <c r="D229" t="s">
        <v>1972</v>
      </c>
      <c r="E229" t="s">
        <v>1444</v>
      </c>
      <c r="F229" t="s">
        <v>2095</v>
      </c>
    </row>
    <row r="230" spans="1:6" x14ac:dyDescent="0.5">
      <c r="A230" t="s">
        <v>602</v>
      </c>
      <c r="B230" t="s">
        <v>601</v>
      </c>
      <c r="C230" t="s">
        <v>2098</v>
      </c>
      <c r="D230" t="s">
        <v>125</v>
      </c>
      <c r="E230" t="s">
        <v>1440</v>
      </c>
      <c r="F230" t="s">
        <v>2097</v>
      </c>
    </row>
    <row r="231" spans="1:6" x14ac:dyDescent="0.5">
      <c r="A231" t="s">
        <v>1463</v>
      </c>
      <c r="B231" t="s">
        <v>2099</v>
      </c>
      <c r="C231" t="s">
        <v>2101</v>
      </c>
      <c r="D231" t="s">
        <v>125</v>
      </c>
      <c r="E231" t="s">
        <v>1441</v>
      </c>
      <c r="F231" t="s">
        <v>2100</v>
      </c>
    </row>
    <row r="232" spans="1:6" x14ac:dyDescent="0.5">
      <c r="A232" t="s">
        <v>617</v>
      </c>
      <c r="B232" t="s">
        <v>2102</v>
      </c>
      <c r="C232" t="s">
        <v>2104</v>
      </c>
      <c r="D232" t="s">
        <v>1972</v>
      </c>
      <c r="E232" t="s">
        <v>1444</v>
      </c>
      <c r="F232" t="s">
        <v>2103</v>
      </c>
    </row>
    <row r="233" spans="1:6" x14ac:dyDescent="0.5">
      <c r="A233" t="s">
        <v>630</v>
      </c>
      <c r="B233" t="s">
        <v>2105</v>
      </c>
      <c r="C233" t="s">
        <v>751</v>
      </c>
      <c r="D233" t="s">
        <v>125</v>
      </c>
      <c r="E233" t="s">
        <v>292</v>
      </c>
      <c r="F233" t="s">
        <v>2106</v>
      </c>
    </row>
    <row r="234" spans="1:6" x14ac:dyDescent="0.5">
      <c r="A234" t="s">
        <v>633</v>
      </c>
      <c r="B234" t="s">
        <v>632</v>
      </c>
      <c r="C234" t="s">
        <v>2108</v>
      </c>
      <c r="D234" t="s">
        <v>125</v>
      </c>
      <c r="E234" t="s">
        <v>1443</v>
      </c>
      <c r="F234" t="s">
        <v>2107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8CD1-1915-4CAA-82BE-7C383571A7C7}">
  <dimension ref="A1:B18"/>
  <sheetViews>
    <sheetView workbookViewId="0"/>
  </sheetViews>
  <sheetFormatPr defaultRowHeight="15.75" x14ac:dyDescent="0.5"/>
  <cols>
    <col min="1" max="1" width="36.125" bestFit="1" customWidth="1"/>
  </cols>
  <sheetData>
    <row r="1" spans="1:2" x14ac:dyDescent="0.5">
      <c r="A1" t="s">
        <v>2115</v>
      </c>
      <c r="B1" t="s">
        <v>2134</v>
      </c>
    </row>
    <row r="2" spans="1:2" x14ac:dyDescent="0.5">
      <c r="A2" t="s">
        <v>2116</v>
      </c>
      <c r="B2" t="s">
        <v>2135</v>
      </c>
    </row>
    <row r="3" spans="1:2" x14ac:dyDescent="0.5">
      <c r="A3" t="s">
        <v>2117</v>
      </c>
      <c r="B3" t="s">
        <v>2135</v>
      </c>
    </row>
    <row r="4" spans="1:2" x14ac:dyDescent="0.5">
      <c r="A4" t="s">
        <v>2118</v>
      </c>
      <c r="B4" t="s">
        <v>2135</v>
      </c>
    </row>
    <row r="5" spans="1:2" x14ac:dyDescent="0.5">
      <c r="A5" t="s">
        <v>2119</v>
      </c>
      <c r="B5" t="s">
        <v>2135</v>
      </c>
    </row>
    <row r="6" spans="1:2" x14ac:dyDescent="0.5">
      <c r="A6" t="s">
        <v>2120</v>
      </c>
      <c r="B6" t="s">
        <v>2135</v>
      </c>
    </row>
    <row r="7" spans="1:2" x14ac:dyDescent="0.5">
      <c r="A7" t="s">
        <v>2121</v>
      </c>
      <c r="B7" t="s">
        <v>2135</v>
      </c>
    </row>
    <row r="8" spans="1:2" x14ac:dyDescent="0.5">
      <c r="A8" s="7" t="s">
        <v>2122</v>
      </c>
      <c r="B8" s="7" t="s">
        <v>2136</v>
      </c>
    </row>
    <row r="9" spans="1:2" x14ac:dyDescent="0.5">
      <c r="A9" t="s">
        <v>49</v>
      </c>
      <c r="B9" t="s">
        <v>2135</v>
      </c>
    </row>
    <row r="10" spans="1:2" x14ac:dyDescent="0.5">
      <c r="A10" t="s">
        <v>2123</v>
      </c>
      <c r="B10" t="s">
        <v>2135</v>
      </c>
    </row>
    <row r="11" spans="1:2" x14ac:dyDescent="0.5">
      <c r="A11" t="s">
        <v>2124</v>
      </c>
      <c r="B11" t="s">
        <v>2135</v>
      </c>
    </row>
    <row r="12" spans="1:2" x14ac:dyDescent="0.5">
      <c r="A12" t="s">
        <v>2125</v>
      </c>
      <c r="B12" t="s">
        <v>2135</v>
      </c>
    </row>
    <row r="13" spans="1:2" x14ac:dyDescent="0.5">
      <c r="A13" s="7" t="s">
        <v>2126</v>
      </c>
      <c r="B13" s="7" t="s">
        <v>2136</v>
      </c>
    </row>
    <row r="14" spans="1:2" x14ac:dyDescent="0.5">
      <c r="A14" t="s">
        <v>2127</v>
      </c>
      <c r="B14" t="s">
        <v>2135</v>
      </c>
    </row>
    <row r="15" spans="1:2" x14ac:dyDescent="0.5">
      <c r="A15" t="s">
        <v>2128</v>
      </c>
      <c r="B15" t="s">
        <v>2135</v>
      </c>
    </row>
    <row r="16" spans="1:2" x14ac:dyDescent="0.5">
      <c r="A16" t="s">
        <v>2129</v>
      </c>
      <c r="B16" t="s">
        <v>2135</v>
      </c>
    </row>
    <row r="17" spans="1:2" x14ac:dyDescent="0.5">
      <c r="A17" s="7" t="s">
        <v>2130</v>
      </c>
      <c r="B17" s="7" t="s">
        <v>2136</v>
      </c>
    </row>
    <row r="18" spans="1:2" x14ac:dyDescent="0.5">
      <c r="A18" s="7" t="s">
        <v>2131</v>
      </c>
      <c r="B18" s="7" t="s">
        <v>2136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569C-E6A1-4D34-84E7-BC0939283B9C}">
  <dimension ref="A1:A3"/>
  <sheetViews>
    <sheetView workbookViewId="0"/>
  </sheetViews>
  <sheetFormatPr defaultRowHeight="15.75" x14ac:dyDescent="0.5"/>
  <sheetData>
    <row r="1" spans="1:1" x14ac:dyDescent="0.5">
      <c r="A1" t="s">
        <v>2115</v>
      </c>
    </row>
    <row r="2" spans="1:1" x14ac:dyDescent="0.5">
      <c r="A2" t="s">
        <v>2132</v>
      </c>
    </row>
    <row r="3" spans="1:1" x14ac:dyDescent="0.5">
      <c r="A3" t="s">
        <v>2133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83DB-710C-4FED-BE1F-BA6869522BB2}">
  <dimension ref="A1:A5"/>
  <sheetViews>
    <sheetView workbookViewId="0"/>
  </sheetViews>
  <sheetFormatPr defaultRowHeight="15.75" x14ac:dyDescent="0.5"/>
  <cols>
    <col min="1" max="1" width="13.875" bestFit="1" customWidth="1"/>
  </cols>
  <sheetData>
    <row r="1" spans="1:1" x14ac:dyDescent="0.5">
      <c r="A1" t="s">
        <v>2115</v>
      </c>
    </row>
    <row r="2" spans="1:1" x14ac:dyDescent="0.5">
      <c r="A2" t="s">
        <v>2137</v>
      </c>
    </row>
    <row r="3" spans="1:1" x14ac:dyDescent="0.5">
      <c r="A3" t="s">
        <v>2138</v>
      </c>
    </row>
    <row r="4" spans="1:1" x14ac:dyDescent="0.5">
      <c r="A4" t="s">
        <v>2235</v>
      </c>
    </row>
    <row r="5" spans="1:1" x14ac:dyDescent="0.5">
      <c r="A5" t="s">
        <v>2236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6E87-E2A0-491E-8552-776FBD34D3DA}">
  <dimension ref="A1:D40"/>
  <sheetViews>
    <sheetView workbookViewId="0">
      <selection activeCell="C1" sqref="C1:D1"/>
    </sheetView>
  </sheetViews>
  <sheetFormatPr defaultRowHeight="15.75" x14ac:dyDescent="0.5"/>
  <sheetData>
    <row r="1" spans="1:4" x14ac:dyDescent="0.5">
      <c r="A1" t="s">
        <v>2139</v>
      </c>
      <c r="B1" t="s">
        <v>2140</v>
      </c>
      <c r="C1" t="s">
        <v>2151</v>
      </c>
      <c r="D1" t="s">
        <v>2404</v>
      </c>
    </row>
    <row r="2" spans="1:4" x14ac:dyDescent="0.5">
      <c r="A2" t="s">
        <v>2141</v>
      </c>
      <c r="B2" t="s">
        <v>2142</v>
      </c>
      <c r="C2" t="s">
        <v>2152</v>
      </c>
      <c r="D2" t="s">
        <v>2154</v>
      </c>
    </row>
    <row r="3" spans="1:4" x14ac:dyDescent="0.5">
      <c r="A3" t="s">
        <v>2141</v>
      </c>
      <c r="B3" t="s">
        <v>2143</v>
      </c>
      <c r="C3" t="s">
        <v>2152</v>
      </c>
      <c r="D3" t="s">
        <v>2154</v>
      </c>
    </row>
    <row r="4" spans="1:4" x14ac:dyDescent="0.5">
      <c r="A4" t="s">
        <v>2141</v>
      </c>
      <c r="B4" t="s">
        <v>2144</v>
      </c>
      <c r="C4" t="s">
        <v>2152</v>
      </c>
      <c r="D4" t="s">
        <v>2155</v>
      </c>
    </row>
    <row r="5" spans="1:4" x14ac:dyDescent="0.5">
      <c r="A5" t="s">
        <v>2141</v>
      </c>
      <c r="B5" t="s">
        <v>2145</v>
      </c>
      <c r="C5" t="s">
        <v>2152</v>
      </c>
      <c r="D5" t="s">
        <v>2155</v>
      </c>
    </row>
    <row r="6" spans="1:4" x14ac:dyDescent="0.5">
      <c r="A6" t="s">
        <v>2141</v>
      </c>
      <c r="B6" t="s">
        <v>2146</v>
      </c>
      <c r="C6" t="s">
        <v>2152</v>
      </c>
      <c r="D6" t="s">
        <v>2155</v>
      </c>
    </row>
    <row r="7" spans="1:4" x14ac:dyDescent="0.5">
      <c r="A7" t="s">
        <v>2141</v>
      </c>
      <c r="B7" t="s">
        <v>2147</v>
      </c>
      <c r="C7" t="s">
        <v>2152</v>
      </c>
      <c r="D7" t="s">
        <v>2156</v>
      </c>
    </row>
    <row r="8" spans="1:4" x14ac:dyDescent="0.5">
      <c r="A8" t="s">
        <v>2141</v>
      </c>
      <c r="B8" t="s">
        <v>2148</v>
      </c>
      <c r="C8" t="s">
        <v>2152</v>
      </c>
      <c r="D8" t="s">
        <v>2156</v>
      </c>
    </row>
    <row r="9" spans="1:4" x14ac:dyDescent="0.5">
      <c r="A9" t="s">
        <v>2141</v>
      </c>
      <c r="B9" t="s">
        <v>2149</v>
      </c>
      <c r="C9" t="s">
        <v>2152</v>
      </c>
      <c r="D9" t="s">
        <v>2156</v>
      </c>
    </row>
    <row r="10" spans="1:4" x14ac:dyDescent="0.5">
      <c r="A10" t="s">
        <v>2141</v>
      </c>
      <c r="B10" t="s">
        <v>2150</v>
      </c>
      <c r="C10" t="s">
        <v>2152</v>
      </c>
      <c r="D10" t="s">
        <v>2157</v>
      </c>
    </row>
    <row r="11" spans="1:4" x14ac:dyDescent="0.5">
      <c r="A11" t="s">
        <v>2141</v>
      </c>
      <c r="B11">
        <v>10</v>
      </c>
      <c r="C11" t="s">
        <v>2152</v>
      </c>
      <c r="D11" t="s">
        <v>2157</v>
      </c>
    </row>
    <row r="12" spans="1:4" x14ac:dyDescent="0.5">
      <c r="A12" t="s">
        <v>2141</v>
      </c>
      <c r="B12">
        <v>11</v>
      </c>
      <c r="C12" t="s">
        <v>2152</v>
      </c>
      <c r="D12" t="s">
        <v>2157</v>
      </c>
    </row>
    <row r="13" spans="1:4" x14ac:dyDescent="0.5">
      <c r="A13" t="s">
        <v>2141</v>
      </c>
      <c r="B13">
        <v>12</v>
      </c>
      <c r="C13" t="s">
        <v>2152</v>
      </c>
      <c r="D13" t="s">
        <v>2154</v>
      </c>
    </row>
    <row r="14" spans="1:4" x14ac:dyDescent="0.5">
      <c r="A14" t="s">
        <v>2110</v>
      </c>
      <c r="B14" t="s">
        <v>2142</v>
      </c>
      <c r="C14" t="s">
        <v>2153</v>
      </c>
      <c r="D14" t="s">
        <v>2158</v>
      </c>
    </row>
    <row r="15" spans="1:4" x14ac:dyDescent="0.5">
      <c r="A15" t="s">
        <v>2110</v>
      </c>
      <c r="B15" t="s">
        <v>2143</v>
      </c>
      <c r="C15" t="s">
        <v>2153</v>
      </c>
      <c r="D15" t="s">
        <v>2158</v>
      </c>
    </row>
    <row r="16" spans="1:4" x14ac:dyDescent="0.5">
      <c r="A16" t="s">
        <v>2110</v>
      </c>
      <c r="B16" t="s">
        <v>2144</v>
      </c>
      <c r="C16" t="s">
        <v>2153</v>
      </c>
      <c r="D16" t="s">
        <v>2158</v>
      </c>
    </row>
    <row r="17" spans="1:4" x14ac:dyDescent="0.5">
      <c r="A17" t="s">
        <v>2110</v>
      </c>
      <c r="B17" t="s">
        <v>2145</v>
      </c>
      <c r="C17" t="s">
        <v>2153</v>
      </c>
      <c r="D17" t="s">
        <v>2158</v>
      </c>
    </row>
    <row r="18" spans="1:4" x14ac:dyDescent="0.5">
      <c r="A18" t="s">
        <v>2110</v>
      </c>
      <c r="B18" t="s">
        <v>2146</v>
      </c>
      <c r="C18" t="s">
        <v>2153</v>
      </c>
      <c r="D18" t="s">
        <v>2158</v>
      </c>
    </row>
    <row r="19" spans="1:4" x14ac:dyDescent="0.5">
      <c r="A19" t="s">
        <v>2110</v>
      </c>
      <c r="B19" t="s">
        <v>2147</v>
      </c>
      <c r="C19" t="s">
        <v>2153</v>
      </c>
      <c r="D19" t="s">
        <v>2158</v>
      </c>
    </row>
    <row r="20" spans="1:4" x14ac:dyDescent="0.5">
      <c r="A20" t="s">
        <v>2110</v>
      </c>
      <c r="B20" t="s">
        <v>2148</v>
      </c>
      <c r="C20" t="s">
        <v>2153</v>
      </c>
      <c r="D20" t="s">
        <v>2159</v>
      </c>
    </row>
    <row r="21" spans="1:4" x14ac:dyDescent="0.5">
      <c r="A21" t="s">
        <v>2110</v>
      </c>
      <c r="B21" t="s">
        <v>2149</v>
      </c>
      <c r="C21" t="s">
        <v>2153</v>
      </c>
      <c r="D21" t="s">
        <v>2159</v>
      </c>
    </row>
    <row r="22" spans="1:4" x14ac:dyDescent="0.5">
      <c r="A22" t="s">
        <v>2110</v>
      </c>
      <c r="B22" t="s">
        <v>2150</v>
      </c>
      <c r="C22" t="s">
        <v>2153</v>
      </c>
      <c r="D22" t="s">
        <v>2159</v>
      </c>
    </row>
    <row r="23" spans="1:4" x14ac:dyDescent="0.5">
      <c r="A23" t="s">
        <v>2110</v>
      </c>
      <c r="B23">
        <v>10</v>
      </c>
      <c r="C23" t="s">
        <v>2153</v>
      </c>
      <c r="D23" t="s">
        <v>2159</v>
      </c>
    </row>
    <row r="24" spans="1:4" x14ac:dyDescent="0.5">
      <c r="A24" t="s">
        <v>2110</v>
      </c>
      <c r="B24">
        <v>11</v>
      </c>
      <c r="C24" t="s">
        <v>2153</v>
      </c>
      <c r="D24" t="s">
        <v>2159</v>
      </c>
    </row>
    <row r="25" spans="1:4" x14ac:dyDescent="0.5">
      <c r="A25" t="s">
        <v>2110</v>
      </c>
      <c r="B25">
        <v>12</v>
      </c>
      <c r="C25" t="s">
        <v>2153</v>
      </c>
      <c r="D25" t="s">
        <v>2159</v>
      </c>
    </row>
    <row r="26" spans="1:4" x14ac:dyDescent="0.5">
      <c r="A26" t="s">
        <v>2110</v>
      </c>
      <c r="B26">
        <v>13</v>
      </c>
      <c r="C26" t="s">
        <v>2153</v>
      </c>
      <c r="D26" t="s">
        <v>2159</v>
      </c>
    </row>
    <row r="27" spans="1:4" x14ac:dyDescent="0.5">
      <c r="A27" t="s">
        <v>2110</v>
      </c>
      <c r="B27">
        <v>14</v>
      </c>
      <c r="C27" t="s">
        <v>2153</v>
      </c>
      <c r="D27" t="s">
        <v>2159</v>
      </c>
    </row>
    <row r="28" spans="1:4" x14ac:dyDescent="0.5">
      <c r="A28" t="s">
        <v>2110</v>
      </c>
      <c r="B28">
        <v>15</v>
      </c>
      <c r="C28" t="s">
        <v>2153</v>
      </c>
      <c r="D28" t="s">
        <v>2159</v>
      </c>
    </row>
    <row r="29" spans="1:4" x14ac:dyDescent="0.5">
      <c r="A29" t="s">
        <v>2110</v>
      </c>
      <c r="B29">
        <v>16</v>
      </c>
      <c r="C29" t="s">
        <v>2153</v>
      </c>
      <c r="D29" t="s">
        <v>2159</v>
      </c>
    </row>
    <row r="30" spans="1:4" x14ac:dyDescent="0.5">
      <c r="A30" t="s">
        <v>2110</v>
      </c>
      <c r="B30">
        <v>17</v>
      </c>
      <c r="C30" t="s">
        <v>2153</v>
      </c>
      <c r="D30" t="s">
        <v>2159</v>
      </c>
    </row>
    <row r="31" spans="1:4" x14ac:dyDescent="0.5">
      <c r="A31" t="s">
        <v>2110</v>
      </c>
      <c r="B31">
        <v>18</v>
      </c>
      <c r="C31" t="s">
        <v>2153</v>
      </c>
      <c r="D31" t="s">
        <v>2160</v>
      </c>
    </row>
    <row r="32" spans="1:4" x14ac:dyDescent="0.5">
      <c r="A32" t="s">
        <v>2110</v>
      </c>
      <c r="B32">
        <v>19</v>
      </c>
      <c r="C32" t="s">
        <v>2153</v>
      </c>
      <c r="D32" t="s">
        <v>2160</v>
      </c>
    </row>
    <row r="33" spans="1:4" x14ac:dyDescent="0.5">
      <c r="A33" t="s">
        <v>2110</v>
      </c>
      <c r="B33">
        <v>20</v>
      </c>
      <c r="C33" t="s">
        <v>2153</v>
      </c>
      <c r="D33" t="s">
        <v>2158</v>
      </c>
    </row>
    <row r="34" spans="1:4" x14ac:dyDescent="0.5">
      <c r="A34" t="s">
        <v>2110</v>
      </c>
      <c r="B34">
        <v>21</v>
      </c>
      <c r="C34" t="s">
        <v>2153</v>
      </c>
      <c r="D34" t="s">
        <v>2158</v>
      </c>
    </row>
    <row r="35" spans="1:4" x14ac:dyDescent="0.5">
      <c r="A35" t="s">
        <v>2110</v>
      </c>
      <c r="B35">
        <v>22</v>
      </c>
      <c r="C35" t="s">
        <v>2153</v>
      </c>
      <c r="D35" t="s">
        <v>2158</v>
      </c>
    </row>
    <row r="36" spans="1:4" x14ac:dyDescent="0.5">
      <c r="A36" t="s">
        <v>2110</v>
      </c>
      <c r="B36">
        <v>23</v>
      </c>
      <c r="C36" t="s">
        <v>2153</v>
      </c>
      <c r="D36" t="s">
        <v>2158</v>
      </c>
    </row>
    <row r="37" spans="1:4" x14ac:dyDescent="0.5">
      <c r="A37" t="s">
        <v>2110</v>
      </c>
      <c r="B37">
        <v>24</v>
      </c>
      <c r="C37" t="s">
        <v>2153</v>
      </c>
      <c r="D37" t="s">
        <v>2158</v>
      </c>
    </row>
    <row r="38" spans="1:4" x14ac:dyDescent="0.5">
      <c r="A38" t="s">
        <v>2161</v>
      </c>
      <c r="C38" s="8"/>
      <c r="D38" s="8"/>
    </row>
    <row r="39" spans="1:4" x14ac:dyDescent="0.5">
      <c r="A39" t="s">
        <v>2161</v>
      </c>
      <c r="C39" s="8"/>
      <c r="D39" s="8"/>
    </row>
    <row r="40" spans="1:4" x14ac:dyDescent="0.5">
      <c r="A40" t="s">
        <v>2402</v>
      </c>
      <c r="C40" t="s">
        <v>2399</v>
      </c>
      <c r="D40" t="s">
        <v>2399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E39F-424C-4157-929C-D21393A56239}">
  <dimension ref="A1:O9"/>
  <sheetViews>
    <sheetView workbookViewId="0">
      <selection activeCell="K5" sqref="K5"/>
    </sheetView>
  </sheetViews>
  <sheetFormatPr defaultRowHeight="15.75" x14ac:dyDescent="0.5"/>
  <cols>
    <col min="1" max="1" width="10.0625" bestFit="1" customWidth="1"/>
    <col min="2" max="2" width="10.75" bestFit="1" customWidth="1"/>
    <col min="3" max="3" width="10.625" bestFit="1" customWidth="1"/>
    <col min="4" max="4" width="11.6875" bestFit="1" customWidth="1"/>
    <col min="5" max="5" width="12.125" bestFit="1" customWidth="1"/>
    <col min="6" max="6" width="12" bestFit="1" customWidth="1"/>
    <col min="7" max="7" width="13.125" bestFit="1" customWidth="1"/>
    <col min="8" max="8" width="15.875" bestFit="1" customWidth="1"/>
    <col min="9" max="9" width="9.375" bestFit="1" customWidth="1"/>
    <col min="10" max="10" width="13.4375" bestFit="1" customWidth="1"/>
    <col min="11" max="11" width="11.6875" bestFit="1" customWidth="1"/>
    <col min="12" max="12" width="7.5" bestFit="1" customWidth="1"/>
    <col min="13" max="13" width="18.9375" bestFit="1" customWidth="1"/>
    <col min="14" max="14" width="20.4375" bestFit="1" customWidth="1"/>
    <col min="15" max="15" width="6.5" bestFit="1" customWidth="1"/>
  </cols>
  <sheetData>
    <row r="1" spans="1:15" ht="16.149999999999999" thickBot="1" x14ac:dyDescent="0.55000000000000004">
      <c r="A1" s="9" t="s">
        <v>2162</v>
      </c>
      <c r="B1" s="9" t="s">
        <v>2163</v>
      </c>
      <c r="C1" s="9" t="s">
        <v>2165</v>
      </c>
      <c r="D1" s="9" t="s">
        <v>2164</v>
      </c>
      <c r="E1" s="9" t="s">
        <v>2166</v>
      </c>
      <c r="F1" s="9" t="s">
        <v>2167</v>
      </c>
      <c r="G1" s="9" t="s">
        <v>2168</v>
      </c>
      <c r="H1" s="9" t="s">
        <v>2169</v>
      </c>
      <c r="I1" s="9" t="s">
        <v>2174</v>
      </c>
      <c r="J1" s="9" t="s">
        <v>2405</v>
      </c>
      <c r="K1" s="9" t="s">
        <v>2294</v>
      </c>
      <c r="L1" s="9" t="s">
        <v>2402</v>
      </c>
      <c r="M1" s="9" t="s">
        <v>2232</v>
      </c>
      <c r="N1" s="9" t="s">
        <v>2233</v>
      </c>
      <c r="O1" s="19" t="s">
        <v>2403</v>
      </c>
    </row>
    <row r="2" spans="1:15" x14ac:dyDescent="0.5">
      <c r="A2" t="s">
        <v>2170</v>
      </c>
      <c r="B2">
        <v>1</v>
      </c>
      <c r="C2">
        <v>1</v>
      </c>
      <c r="D2">
        <v>1</v>
      </c>
      <c r="L2" t="s">
        <v>2399</v>
      </c>
      <c r="M2">
        <v>8</v>
      </c>
      <c r="N2">
        <v>12</v>
      </c>
      <c r="O2">
        <f>SUM(B2:D2)*24+SUM(E2:G2)*7*24+(M2*N2)</f>
        <v>168</v>
      </c>
    </row>
    <row r="3" spans="1:15" x14ac:dyDescent="0.5">
      <c r="A3" t="s">
        <v>2237</v>
      </c>
      <c r="B3">
        <v>5</v>
      </c>
      <c r="C3">
        <v>5</v>
      </c>
      <c r="D3">
        <v>5</v>
      </c>
      <c r="I3" t="s">
        <v>2135</v>
      </c>
      <c r="L3" t="s">
        <v>2399</v>
      </c>
      <c r="M3">
        <v>8</v>
      </c>
      <c r="N3">
        <v>12</v>
      </c>
      <c r="O3">
        <f t="shared" ref="O3:O9" si="0">SUM(B3:D3)*24+SUM(E3:G3)*7*24+(M3*N3)</f>
        <v>456</v>
      </c>
    </row>
    <row r="4" spans="1:15" x14ac:dyDescent="0.5">
      <c r="A4" t="s">
        <v>2173</v>
      </c>
      <c r="C4">
        <v>2</v>
      </c>
      <c r="E4">
        <v>2</v>
      </c>
      <c r="I4" t="s">
        <v>2135</v>
      </c>
      <c r="L4" t="s">
        <v>2399</v>
      </c>
      <c r="M4">
        <v>8</v>
      </c>
      <c r="N4">
        <v>12</v>
      </c>
      <c r="O4">
        <f t="shared" si="0"/>
        <v>480</v>
      </c>
    </row>
    <row r="5" spans="1:15" x14ac:dyDescent="0.5">
      <c r="A5" t="str">
        <f>"ts_"&amp;TEXT(O5,"000")</f>
        <v>ts_012</v>
      </c>
      <c r="J5" t="s">
        <v>2135</v>
      </c>
      <c r="K5" t="s">
        <v>2135</v>
      </c>
      <c r="L5" t="s">
        <v>2399</v>
      </c>
      <c r="M5">
        <v>3</v>
      </c>
      <c r="N5">
        <v>4</v>
      </c>
      <c r="O5">
        <f t="shared" ref="O5:O6" si="1">SUM(B5:D5)*24+SUM(E5:G5)*7*24+(M5*N5)</f>
        <v>12</v>
      </c>
    </row>
    <row r="6" spans="1:15" x14ac:dyDescent="0.5">
      <c r="A6" t="str">
        <f t="shared" ref="A6" si="2">"ts_"&amp;TEXT(O6,"000")</f>
        <v>ts_048</v>
      </c>
      <c r="J6" t="s">
        <v>2135</v>
      </c>
      <c r="K6" t="s">
        <v>2135</v>
      </c>
      <c r="L6" t="s">
        <v>2399</v>
      </c>
      <c r="M6">
        <v>6</v>
      </c>
      <c r="N6">
        <v>8</v>
      </c>
      <c r="O6">
        <f t="shared" si="1"/>
        <v>48</v>
      </c>
    </row>
    <row r="7" spans="1:15" x14ac:dyDescent="0.5">
      <c r="A7" t="str">
        <f>"ts_"&amp;TEXT(O7,"000")&amp;L7</f>
        <v>ts_096P50</v>
      </c>
      <c r="L7" t="s">
        <v>2399</v>
      </c>
      <c r="M7">
        <v>8</v>
      </c>
      <c r="N7">
        <v>12</v>
      </c>
      <c r="O7">
        <f t="shared" si="0"/>
        <v>96</v>
      </c>
    </row>
    <row r="8" spans="1:15" x14ac:dyDescent="0.5">
      <c r="A8" t="str">
        <f t="shared" ref="A8:A9" si="3">"ts_"&amp;TEXT(O8,"000")&amp;L8</f>
        <v>ts_096P10</v>
      </c>
      <c r="L8" t="s">
        <v>2400</v>
      </c>
      <c r="M8">
        <v>8</v>
      </c>
      <c r="N8">
        <v>12</v>
      </c>
      <c r="O8">
        <f t="shared" si="0"/>
        <v>96</v>
      </c>
    </row>
    <row r="9" spans="1:15" x14ac:dyDescent="0.5">
      <c r="A9" t="str">
        <f t="shared" si="3"/>
        <v>ts_096P90</v>
      </c>
      <c r="L9" t="s">
        <v>2401</v>
      </c>
      <c r="M9">
        <v>8</v>
      </c>
      <c r="N9">
        <v>12</v>
      </c>
      <c r="O9">
        <f t="shared" si="0"/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31FA-8BF9-4089-8827-D8FDD54FF3A7}">
  <dimension ref="A1:O13"/>
  <sheetViews>
    <sheetView topLeftCell="D1" workbookViewId="0">
      <selection activeCell="A9" sqref="A9:O9"/>
    </sheetView>
  </sheetViews>
  <sheetFormatPr defaultRowHeight="15.75" x14ac:dyDescent="0.5"/>
  <cols>
    <col min="1" max="1" width="10.0625" bestFit="1" customWidth="1"/>
    <col min="2" max="2" width="10.75" bestFit="1" customWidth="1"/>
    <col min="3" max="3" width="10.625" bestFit="1" customWidth="1"/>
    <col min="4" max="4" width="11.6875" bestFit="1" customWidth="1"/>
    <col min="5" max="5" width="12.125" bestFit="1" customWidth="1"/>
    <col min="6" max="6" width="12" bestFit="1" customWidth="1"/>
    <col min="7" max="7" width="13.125" bestFit="1" customWidth="1"/>
    <col min="8" max="8" width="15.875" bestFit="1" customWidth="1"/>
    <col min="9" max="9" width="9.375" bestFit="1" customWidth="1"/>
    <col min="10" max="10" width="13.4375" bestFit="1" customWidth="1"/>
    <col min="11" max="11" width="11.6875" bestFit="1" customWidth="1"/>
    <col min="12" max="12" width="7.5" bestFit="1" customWidth="1"/>
    <col min="13" max="13" width="18.9375" bestFit="1" customWidth="1"/>
    <col min="14" max="14" width="20.4375" bestFit="1" customWidth="1"/>
    <col min="15" max="15" width="6.5" bestFit="1" customWidth="1"/>
  </cols>
  <sheetData>
    <row r="1" spans="1:15" ht="16.149999999999999" thickBot="1" x14ac:dyDescent="0.55000000000000004">
      <c r="A1" s="9" t="s">
        <v>2162</v>
      </c>
      <c r="B1" s="9" t="s">
        <v>2163</v>
      </c>
      <c r="C1" s="9" t="s">
        <v>2165</v>
      </c>
      <c r="D1" s="9" t="s">
        <v>2164</v>
      </c>
      <c r="E1" s="9" t="s">
        <v>2166</v>
      </c>
      <c r="F1" s="9" t="s">
        <v>2167</v>
      </c>
      <c r="G1" s="9" t="s">
        <v>2168</v>
      </c>
      <c r="H1" s="9" t="s">
        <v>2169</v>
      </c>
      <c r="I1" s="9" t="s">
        <v>2174</v>
      </c>
      <c r="J1" s="9" t="s">
        <v>2405</v>
      </c>
      <c r="K1" s="9" t="s">
        <v>2294</v>
      </c>
      <c r="L1" s="9" t="s">
        <v>2402</v>
      </c>
      <c r="M1" s="9" t="s">
        <v>2232</v>
      </c>
      <c r="N1" s="9" t="s">
        <v>2233</v>
      </c>
      <c r="O1" s="19" t="s">
        <v>2403</v>
      </c>
    </row>
    <row r="2" spans="1:15" x14ac:dyDescent="0.5">
      <c r="A2" t="s">
        <v>2170</v>
      </c>
      <c r="B2">
        <v>1</v>
      </c>
      <c r="C2">
        <v>1</v>
      </c>
      <c r="D2">
        <v>1</v>
      </c>
      <c r="L2" t="s">
        <v>2399</v>
      </c>
      <c r="M2">
        <v>8</v>
      </c>
      <c r="N2">
        <v>12</v>
      </c>
      <c r="O2">
        <f>SUM(B2:D2)*24+SUM(E2:G2)*7*24+(M2*N2)</f>
        <v>168</v>
      </c>
    </row>
    <row r="3" spans="1:15" x14ac:dyDescent="0.5">
      <c r="A3" t="s">
        <v>2171</v>
      </c>
      <c r="B3">
        <v>3</v>
      </c>
      <c r="C3">
        <v>3</v>
      </c>
      <c r="D3">
        <v>3</v>
      </c>
      <c r="L3" t="s">
        <v>2399</v>
      </c>
      <c r="M3">
        <v>8</v>
      </c>
      <c r="N3">
        <v>12</v>
      </c>
      <c r="O3">
        <f t="shared" ref="O3:O13" si="0">SUM(B3:D3)*24+SUM(E3:G3)*7*24+(M3*N3)</f>
        <v>312</v>
      </c>
    </row>
    <row r="4" spans="1:15" x14ac:dyDescent="0.5">
      <c r="A4" t="s">
        <v>2237</v>
      </c>
      <c r="B4">
        <v>5</v>
      </c>
      <c r="C4">
        <v>5</v>
      </c>
      <c r="D4">
        <v>5</v>
      </c>
      <c r="I4" t="s">
        <v>2135</v>
      </c>
      <c r="L4" t="s">
        <v>2399</v>
      </c>
      <c r="M4">
        <v>8</v>
      </c>
      <c r="N4">
        <v>12</v>
      </c>
      <c r="O4">
        <f t="shared" si="0"/>
        <v>456</v>
      </c>
    </row>
    <row r="5" spans="1:15" x14ac:dyDescent="0.5">
      <c r="A5" t="s">
        <v>2172</v>
      </c>
      <c r="E5">
        <v>2</v>
      </c>
      <c r="I5" t="s">
        <v>2135</v>
      </c>
      <c r="L5" t="s">
        <v>2399</v>
      </c>
      <c r="M5">
        <v>8</v>
      </c>
      <c r="N5">
        <v>12</v>
      </c>
      <c r="O5">
        <f t="shared" si="0"/>
        <v>432</v>
      </c>
    </row>
    <row r="6" spans="1:15" x14ac:dyDescent="0.5">
      <c r="A6" t="s">
        <v>2173</v>
      </c>
      <c r="C6">
        <v>2</v>
      </c>
      <c r="E6">
        <v>2</v>
      </c>
      <c r="L6" t="s">
        <v>2399</v>
      </c>
      <c r="M6">
        <v>8</v>
      </c>
      <c r="N6">
        <v>12</v>
      </c>
      <c r="O6">
        <f t="shared" si="0"/>
        <v>480</v>
      </c>
    </row>
    <row r="7" spans="1:15" x14ac:dyDescent="0.5">
      <c r="A7" t="str">
        <f>"ts_"&amp;TEXT(O7,"000")</f>
        <v>ts_012</v>
      </c>
      <c r="J7" t="s">
        <v>2135</v>
      </c>
      <c r="K7" t="s">
        <v>2135</v>
      </c>
      <c r="L7" t="s">
        <v>2399</v>
      </c>
      <c r="M7">
        <v>3</v>
      </c>
      <c r="N7">
        <v>4</v>
      </c>
      <c r="O7">
        <f t="shared" si="0"/>
        <v>12</v>
      </c>
    </row>
    <row r="8" spans="1:15" x14ac:dyDescent="0.5">
      <c r="A8" t="str">
        <f t="shared" ref="A8:A10" si="1">"ts_"&amp;TEXT(O8,"000")</f>
        <v>ts_024</v>
      </c>
      <c r="J8" t="s">
        <v>2135</v>
      </c>
      <c r="K8" t="s">
        <v>2135</v>
      </c>
      <c r="L8" t="s">
        <v>2399</v>
      </c>
      <c r="M8">
        <v>6</v>
      </c>
      <c r="N8">
        <v>4</v>
      </c>
      <c r="O8">
        <f t="shared" ref="O8" si="2">SUM(B8:D8)*24+SUM(E8:G8)*7*24+(M8*N8)</f>
        <v>24</v>
      </c>
    </row>
    <row r="9" spans="1:15" x14ac:dyDescent="0.5">
      <c r="A9" t="str">
        <f t="shared" si="1"/>
        <v>ts_048</v>
      </c>
      <c r="J9" t="s">
        <v>2135</v>
      </c>
      <c r="K9" t="s">
        <v>2135</v>
      </c>
      <c r="L9" t="s">
        <v>2399</v>
      </c>
      <c r="M9">
        <v>6</v>
      </c>
      <c r="N9">
        <v>8</v>
      </c>
      <c r="O9">
        <f t="shared" si="0"/>
        <v>48</v>
      </c>
    </row>
    <row r="10" spans="1:15" x14ac:dyDescent="0.5">
      <c r="A10" t="str">
        <f t="shared" si="1"/>
        <v>ts_064</v>
      </c>
      <c r="J10" t="s">
        <v>2135</v>
      </c>
      <c r="K10" t="s">
        <v>2135</v>
      </c>
      <c r="L10" t="s">
        <v>2399</v>
      </c>
      <c r="M10">
        <v>8</v>
      </c>
      <c r="N10">
        <v>8</v>
      </c>
      <c r="O10">
        <f t="shared" si="0"/>
        <v>64</v>
      </c>
    </row>
    <row r="11" spans="1:15" x14ac:dyDescent="0.5">
      <c r="A11" t="str">
        <f>"ts_"&amp;TEXT(O11,"000")&amp;L11</f>
        <v>ts_096P50</v>
      </c>
      <c r="K11" t="s">
        <v>2135</v>
      </c>
      <c r="L11" t="s">
        <v>2399</v>
      </c>
      <c r="M11">
        <v>8</v>
      </c>
      <c r="N11">
        <v>12</v>
      </c>
      <c r="O11">
        <f t="shared" si="0"/>
        <v>96</v>
      </c>
    </row>
    <row r="12" spans="1:15" x14ac:dyDescent="0.5">
      <c r="A12" t="str">
        <f t="shared" ref="A12:A13" si="3">"ts_"&amp;TEXT(O12,"000")&amp;L12</f>
        <v>ts_096P10</v>
      </c>
      <c r="K12" t="s">
        <v>2135</v>
      </c>
      <c r="L12" t="s">
        <v>2400</v>
      </c>
      <c r="M12">
        <v>8</v>
      </c>
      <c r="N12">
        <v>12</v>
      </c>
      <c r="O12">
        <f t="shared" si="0"/>
        <v>96</v>
      </c>
    </row>
    <row r="13" spans="1:15" x14ac:dyDescent="0.5">
      <c r="A13" t="str">
        <f t="shared" si="3"/>
        <v>ts_096P90</v>
      </c>
      <c r="K13" t="s">
        <v>2135</v>
      </c>
      <c r="L13" t="s">
        <v>2401</v>
      </c>
      <c r="M13">
        <v>8</v>
      </c>
      <c r="N13">
        <v>12</v>
      </c>
      <c r="O13">
        <f t="shared" si="0"/>
        <v>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3326-32E2-42E0-824B-3927847F4920}">
  <dimension ref="A1:I100"/>
  <sheetViews>
    <sheetView workbookViewId="0"/>
  </sheetViews>
  <sheetFormatPr defaultRowHeight="15.75" x14ac:dyDescent="0.5"/>
  <cols>
    <col min="1" max="1" width="5.125" bestFit="1" customWidth="1"/>
    <col min="2" max="2" width="8.5" bestFit="1" customWidth="1"/>
    <col min="3" max="3" width="8.875" bestFit="1" customWidth="1"/>
    <col min="4" max="4" width="8.75" bestFit="1" customWidth="1"/>
    <col min="5" max="5" width="9.125" bestFit="1" customWidth="1"/>
    <col min="6" max="6" width="9.375" bestFit="1" customWidth="1"/>
    <col min="7" max="7" width="9.75" bestFit="1" customWidth="1"/>
    <col min="8" max="8" width="10.75" bestFit="1" customWidth="1"/>
    <col min="9" max="9" width="11.125" bestFit="1" customWidth="1"/>
  </cols>
  <sheetData>
    <row r="1" spans="1:9" ht="16.149999999999999" thickBot="1" x14ac:dyDescent="0.55000000000000004">
      <c r="A1" s="9" t="s">
        <v>1439</v>
      </c>
      <c r="B1" s="9" t="s">
        <v>2175</v>
      </c>
      <c r="C1" s="9" t="s">
        <v>2176</v>
      </c>
      <c r="D1" s="9" t="s">
        <v>2177</v>
      </c>
      <c r="E1" s="9" t="s">
        <v>2178</v>
      </c>
      <c r="F1" s="9" t="s">
        <v>2179</v>
      </c>
      <c r="G1" s="9" t="s">
        <v>2180</v>
      </c>
      <c r="H1" s="9" t="s">
        <v>2181</v>
      </c>
      <c r="I1" s="9" t="s">
        <v>2182</v>
      </c>
    </row>
    <row r="2" spans="1:9" x14ac:dyDescent="0.5">
      <c r="A2" t="s">
        <v>614</v>
      </c>
      <c r="B2">
        <v>25</v>
      </c>
      <c r="C2">
        <v>40</v>
      </c>
      <c r="D2">
        <v>15</v>
      </c>
      <c r="E2">
        <v>25</v>
      </c>
      <c r="F2">
        <v>0.5</v>
      </c>
      <c r="G2">
        <v>1.5</v>
      </c>
      <c r="H2">
        <v>1</v>
      </c>
      <c r="I2">
        <v>3</v>
      </c>
    </row>
    <row r="3" spans="1:9" x14ac:dyDescent="0.5">
      <c r="A3" t="s">
        <v>205</v>
      </c>
      <c r="B3">
        <v>70</v>
      </c>
      <c r="C3">
        <v>100</v>
      </c>
      <c r="D3">
        <v>40</v>
      </c>
      <c r="E3">
        <v>60</v>
      </c>
      <c r="F3">
        <v>8</v>
      </c>
      <c r="G3">
        <v>15</v>
      </c>
      <c r="H3">
        <v>8</v>
      </c>
      <c r="I3">
        <v>15</v>
      </c>
    </row>
    <row r="4" spans="1:9" x14ac:dyDescent="0.5">
      <c r="A4" t="s">
        <v>308</v>
      </c>
      <c r="B4">
        <v>10</v>
      </c>
      <c r="C4">
        <v>15</v>
      </c>
      <c r="D4">
        <v>6</v>
      </c>
      <c r="E4">
        <v>8</v>
      </c>
      <c r="F4">
        <v>0.05</v>
      </c>
      <c r="G4">
        <v>0.1</v>
      </c>
      <c r="H4">
        <v>0</v>
      </c>
      <c r="I4">
        <v>0</v>
      </c>
    </row>
    <row r="5" spans="1:9" x14ac:dyDescent="0.5">
      <c r="A5" t="s">
        <v>362</v>
      </c>
      <c r="B5">
        <v>15</v>
      </c>
      <c r="C5">
        <v>25</v>
      </c>
      <c r="D5">
        <v>8</v>
      </c>
      <c r="E5">
        <v>12</v>
      </c>
      <c r="F5">
        <v>0.2</v>
      </c>
      <c r="G5">
        <v>0.5</v>
      </c>
      <c r="H5">
        <v>1</v>
      </c>
      <c r="I5">
        <v>2</v>
      </c>
    </row>
    <row r="6" spans="1:9" x14ac:dyDescent="0.5">
      <c r="A6" t="s">
        <v>343</v>
      </c>
      <c r="B6">
        <v>20</v>
      </c>
      <c r="C6">
        <v>35</v>
      </c>
      <c r="D6">
        <v>8</v>
      </c>
      <c r="E6">
        <v>15</v>
      </c>
      <c r="F6">
        <v>2</v>
      </c>
      <c r="G6">
        <v>4</v>
      </c>
      <c r="H6">
        <v>2</v>
      </c>
      <c r="I6">
        <v>4</v>
      </c>
    </row>
    <row r="7" spans="1:9" x14ac:dyDescent="0.5">
      <c r="A7" t="s">
        <v>610</v>
      </c>
      <c r="B7">
        <v>8</v>
      </c>
      <c r="C7">
        <v>12</v>
      </c>
      <c r="D7">
        <v>5</v>
      </c>
      <c r="E7">
        <v>8</v>
      </c>
      <c r="F7">
        <v>0.05</v>
      </c>
      <c r="G7">
        <v>0.1</v>
      </c>
      <c r="H7">
        <v>1</v>
      </c>
      <c r="I7">
        <v>2</v>
      </c>
    </row>
    <row r="8" spans="1:9" x14ac:dyDescent="0.5">
      <c r="A8" t="s">
        <v>293</v>
      </c>
      <c r="B8">
        <v>8</v>
      </c>
      <c r="C8">
        <v>12</v>
      </c>
      <c r="D8">
        <v>5</v>
      </c>
      <c r="E8">
        <v>7</v>
      </c>
      <c r="F8">
        <v>0.2</v>
      </c>
      <c r="G8">
        <v>0.5</v>
      </c>
      <c r="H8">
        <v>1</v>
      </c>
      <c r="I8">
        <v>2.5</v>
      </c>
    </row>
    <row r="9" spans="1:9" x14ac:dyDescent="0.5">
      <c r="A9" t="s">
        <v>358</v>
      </c>
      <c r="B9">
        <v>7</v>
      </c>
      <c r="C9">
        <v>10</v>
      </c>
      <c r="D9">
        <v>4</v>
      </c>
      <c r="E9">
        <v>6</v>
      </c>
      <c r="F9">
        <v>0.1</v>
      </c>
      <c r="G9">
        <v>0.3</v>
      </c>
      <c r="H9">
        <v>0</v>
      </c>
      <c r="I9">
        <v>0</v>
      </c>
    </row>
    <row r="10" spans="1:9" x14ac:dyDescent="0.5">
      <c r="A10" t="s">
        <v>192</v>
      </c>
      <c r="B10">
        <v>8</v>
      </c>
      <c r="C10">
        <v>12</v>
      </c>
      <c r="D10">
        <v>6</v>
      </c>
      <c r="E10">
        <v>10</v>
      </c>
      <c r="F10">
        <v>1</v>
      </c>
      <c r="G10">
        <v>2</v>
      </c>
      <c r="H10">
        <v>0.5</v>
      </c>
      <c r="I10">
        <v>1.5</v>
      </c>
    </row>
    <row r="11" spans="1:9" x14ac:dyDescent="0.5">
      <c r="A11" t="s">
        <v>496</v>
      </c>
      <c r="B11">
        <v>8</v>
      </c>
      <c r="C11">
        <v>12</v>
      </c>
      <c r="D11">
        <v>4</v>
      </c>
      <c r="E11">
        <v>6</v>
      </c>
      <c r="F11">
        <v>0.05</v>
      </c>
      <c r="G11">
        <v>0.1</v>
      </c>
      <c r="H11">
        <v>2</v>
      </c>
      <c r="I11">
        <v>4</v>
      </c>
    </row>
    <row r="12" spans="1:9" x14ac:dyDescent="0.5">
      <c r="A12" t="s">
        <v>505</v>
      </c>
      <c r="B12">
        <v>8</v>
      </c>
      <c r="C12">
        <v>15</v>
      </c>
      <c r="D12">
        <v>5</v>
      </c>
      <c r="E12">
        <v>8</v>
      </c>
      <c r="F12">
        <v>1</v>
      </c>
      <c r="G12">
        <v>2</v>
      </c>
      <c r="H12">
        <v>2</v>
      </c>
      <c r="I12">
        <v>4</v>
      </c>
    </row>
    <row r="13" spans="1:9" x14ac:dyDescent="0.5">
      <c r="A13" t="s">
        <v>173</v>
      </c>
      <c r="B13">
        <v>12</v>
      </c>
      <c r="C13">
        <v>20</v>
      </c>
      <c r="D13">
        <v>6</v>
      </c>
      <c r="E13">
        <v>10</v>
      </c>
      <c r="F13">
        <v>3</v>
      </c>
      <c r="G13">
        <v>5</v>
      </c>
      <c r="H13">
        <v>0.5</v>
      </c>
      <c r="I13">
        <v>1.5</v>
      </c>
    </row>
    <row r="14" spans="1:9" x14ac:dyDescent="0.5">
      <c r="A14" t="s">
        <v>138</v>
      </c>
      <c r="B14">
        <v>8</v>
      </c>
      <c r="C14">
        <v>12</v>
      </c>
      <c r="D14">
        <v>5</v>
      </c>
      <c r="E14">
        <v>8</v>
      </c>
      <c r="F14">
        <v>0.2</v>
      </c>
      <c r="G14">
        <v>0.5</v>
      </c>
      <c r="H14">
        <v>0</v>
      </c>
      <c r="I14">
        <v>0</v>
      </c>
    </row>
    <row r="15" spans="1:9" x14ac:dyDescent="0.5">
      <c r="A15" t="s">
        <v>560</v>
      </c>
      <c r="B15">
        <v>6</v>
      </c>
      <c r="C15">
        <v>9</v>
      </c>
      <c r="D15">
        <v>3</v>
      </c>
      <c r="E15">
        <v>5</v>
      </c>
      <c r="F15">
        <v>0.1</v>
      </c>
      <c r="G15">
        <v>0.3</v>
      </c>
      <c r="H15">
        <v>0</v>
      </c>
      <c r="I15">
        <v>0</v>
      </c>
    </row>
    <row r="16" spans="1:9" x14ac:dyDescent="0.5">
      <c r="A16" t="s">
        <v>419</v>
      </c>
      <c r="B16">
        <v>8</v>
      </c>
      <c r="C16">
        <v>12</v>
      </c>
      <c r="D16">
        <v>4</v>
      </c>
      <c r="E16">
        <v>6</v>
      </c>
      <c r="F16">
        <v>0.5</v>
      </c>
      <c r="G16">
        <v>1</v>
      </c>
      <c r="H16">
        <v>0.5</v>
      </c>
      <c r="I16">
        <v>1</v>
      </c>
    </row>
    <row r="17" spans="1:9" x14ac:dyDescent="0.5">
      <c r="A17" t="s">
        <v>346</v>
      </c>
      <c r="B17">
        <v>8</v>
      </c>
      <c r="C17">
        <v>12</v>
      </c>
      <c r="D17">
        <v>3</v>
      </c>
      <c r="E17">
        <v>5</v>
      </c>
      <c r="F17">
        <v>1</v>
      </c>
      <c r="G17">
        <v>2</v>
      </c>
      <c r="H17">
        <v>0.5</v>
      </c>
      <c r="I17">
        <v>1</v>
      </c>
    </row>
    <row r="18" spans="1:9" x14ac:dyDescent="0.5">
      <c r="A18" t="s">
        <v>443</v>
      </c>
      <c r="B18">
        <v>2.5</v>
      </c>
      <c r="C18">
        <v>3.5</v>
      </c>
      <c r="D18">
        <v>1.5</v>
      </c>
      <c r="E18">
        <v>2</v>
      </c>
      <c r="F18">
        <v>0</v>
      </c>
      <c r="G18">
        <v>0</v>
      </c>
      <c r="H18">
        <v>0.5</v>
      </c>
      <c r="I18">
        <v>1</v>
      </c>
    </row>
    <row r="19" spans="1:9" x14ac:dyDescent="0.5">
      <c r="A19" t="s">
        <v>445</v>
      </c>
      <c r="B19">
        <v>5</v>
      </c>
      <c r="C19">
        <v>8</v>
      </c>
      <c r="D19">
        <v>2</v>
      </c>
      <c r="E19">
        <v>4</v>
      </c>
      <c r="F19">
        <v>0</v>
      </c>
      <c r="G19">
        <v>0</v>
      </c>
      <c r="H19">
        <v>1</v>
      </c>
      <c r="I19">
        <v>2</v>
      </c>
    </row>
    <row r="20" spans="1:9" x14ac:dyDescent="0.5">
      <c r="A20" t="s">
        <v>596</v>
      </c>
      <c r="B20">
        <v>6</v>
      </c>
      <c r="C20">
        <v>10</v>
      </c>
      <c r="D20">
        <v>3</v>
      </c>
      <c r="E20">
        <v>5</v>
      </c>
      <c r="F20">
        <v>1.5</v>
      </c>
      <c r="G20">
        <v>3</v>
      </c>
      <c r="H20">
        <v>1</v>
      </c>
      <c r="I20">
        <v>2</v>
      </c>
    </row>
    <row r="21" spans="1:9" x14ac:dyDescent="0.5">
      <c r="A21" t="s">
        <v>574</v>
      </c>
      <c r="B21">
        <v>2</v>
      </c>
      <c r="C21">
        <v>3</v>
      </c>
      <c r="D21">
        <v>1</v>
      </c>
      <c r="E21">
        <v>1.5</v>
      </c>
      <c r="F21">
        <v>0.1</v>
      </c>
      <c r="G21">
        <v>0.2</v>
      </c>
      <c r="H21">
        <v>0</v>
      </c>
      <c r="I21">
        <v>0</v>
      </c>
    </row>
    <row r="22" spans="1:9" x14ac:dyDescent="0.5">
      <c r="A22" t="s">
        <v>488</v>
      </c>
      <c r="B22">
        <v>5</v>
      </c>
      <c r="C22">
        <v>7</v>
      </c>
      <c r="D22">
        <v>2.5</v>
      </c>
      <c r="E22">
        <v>3.5</v>
      </c>
      <c r="F22">
        <v>0.05</v>
      </c>
      <c r="G22">
        <v>0.1</v>
      </c>
      <c r="H22">
        <v>1</v>
      </c>
      <c r="I22">
        <v>2</v>
      </c>
    </row>
    <row r="23" spans="1:9" x14ac:dyDescent="0.5">
      <c r="A23" t="s">
        <v>154</v>
      </c>
      <c r="B23">
        <v>2</v>
      </c>
      <c r="C23">
        <v>3</v>
      </c>
      <c r="D23">
        <v>1</v>
      </c>
      <c r="E23">
        <v>2</v>
      </c>
      <c r="F23">
        <v>0</v>
      </c>
      <c r="G23">
        <v>0</v>
      </c>
      <c r="H23">
        <v>0</v>
      </c>
      <c r="I23">
        <v>0</v>
      </c>
    </row>
    <row r="24" spans="1:9" x14ac:dyDescent="0.5">
      <c r="A24" t="s">
        <v>572</v>
      </c>
      <c r="B24">
        <v>2.5</v>
      </c>
      <c r="C24">
        <v>4</v>
      </c>
      <c r="D24">
        <v>2</v>
      </c>
      <c r="E24">
        <v>3</v>
      </c>
      <c r="F24">
        <v>0.2</v>
      </c>
      <c r="G24">
        <v>0.4</v>
      </c>
      <c r="H24">
        <v>0.5</v>
      </c>
      <c r="I24">
        <v>1</v>
      </c>
    </row>
    <row r="25" spans="1:9" x14ac:dyDescent="0.5">
      <c r="A25" t="s">
        <v>352</v>
      </c>
      <c r="B25">
        <v>1.5</v>
      </c>
      <c r="C25">
        <v>2.5</v>
      </c>
      <c r="D25">
        <v>1.5</v>
      </c>
      <c r="E25">
        <v>2.5</v>
      </c>
      <c r="F25">
        <v>0.02</v>
      </c>
      <c r="G25">
        <v>0.05</v>
      </c>
      <c r="H25">
        <v>0</v>
      </c>
      <c r="I25">
        <v>0</v>
      </c>
    </row>
    <row r="26" spans="1:9" x14ac:dyDescent="0.5">
      <c r="A26" t="s">
        <v>130</v>
      </c>
      <c r="B26">
        <v>4</v>
      </c>
      <c r="C26">
        <v>6</v>
      </c>
      <c r="D26">
        <v>2</v>
      </c>
      <c r="E26">
        <v>3</v>
      </c>
      <c r="F26">
        <v>0.5</v>
      </c>
      <c r="G26">
        <v>1</v>
      </c>
      <c r="H26">
        <v>0.5</v>
      </c>
      <c r="I26">
        <v>1</v>
      </c>
    </row>
    <row r="27" spans="1:9" x14ac:dyDescent="0.5">
      <c r="A27" t="s">
        <v>140</v>
      </c>
      <c r="B27">
        <v>2</v>
      </c>
      <c r="C27">
        <v>3</v>
      </c>
      <c r="D27">
        <v>1</v>
      </c>
      <c r="E27">
        <v>1.5</v>
      </c>
      <c r="F27">
        <v>0.1</v>
      </c>
      <c r="G27">
        <v>0.2</v>
      </c>
      <c r="H27">
        <v>0</v>
      </c>
      <c r="I27">
        <v>0</v>
      </c>
    </row>
    <row r="28" spans="1:9" x14ac:dyDescent="0.5">
      <c r="A28" t="s">
        <v>455</v>
      </c>
      <c r="B28">
        <v>4</v>
      </c>
      <c r="C28">
        <v>6</v>
      </c>
      <c r="D28">
        <v>1</v>
      </c>
      <c r="E28">
        <v>2</v>
      </c>
      <c r="F28">
        <v>0.5</v>
      </c>
      <c r="G28">
        <v>1</v>
      </c>
      <c r="H28">
        <v>0</v>
      </c>
      <c r="I28">
        <v>0</v>
      </c>
    </row>
    <row r="29" spans="1:9" x14ac:dyDescent="0.5">
      <c r="A29" t="s">
        <v>356</v>
      </c>
      <c r="B29">
        <v>2</v>
      </c>
      <c r="C29">
        <v>3</v>
      </c>
      <c r="D29">
        <v>0.5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x14ac:dyDescent="0.5">
      <c r="A30" t="s">
        <v>608</v>
      </c>
      <c r="B30">
        <v>3</v>
      </c>
      <c r="C30">
        <v>5</v>
      </c>
      <c r="D30">
        <v>1</v>
      </c>
      <c r="E30">
        <v>2</v>
      </c>
      <c r="F30">
        <v>0</v>
      </c>
      <c r="G30">
        <v>0</v>
      </c>
      <c r="H30">
        <v>2</v>
      </c>
      <c r="I30">
        <v>4</v>
      </c>
    </row>
    <row r="31" spans="1:9" x14ac:dyDescent="0.5">
      <c r="A31" t="s">
        <v>248</v>
      </c>
      <c r="B31">
        <v>4</v>
      </c>
      <c r="C31">
        <v>6</v>
      </c>
      <c r="D31">
        <v>2</v>
      </c>
      <c r="E31">
        <v>3</v>
      </c>
      <c r="F31">
        <v>0.05</v>
      </c>
      <c r="G31">
        <v>0.1</v>
      </c>
      <c r="H31">
        <v>1</v>
      </c>
      <c r="I31">
        <v>2</v>
      </c>
    </row>
    <row r="32" spans="1:9" x14ac:dyDescent="0.5">
      <c r="A32" t="s">
        <v>236</v>
      </c>
      <c r="B32">
        <v>1.5</v>
      </c>
      <c r="C32">
        <v>2.5</v>
      </c>
      <c r="D32">
        <v>2</v>
      </c>
      <c r="E32">
        <v>3</v>
      </c>
      <c r="F32">
        <v>0</v>
      </c>
      <c r="G32">
        <v>0</v>
      </c>
      <c r="H32">
        <v>0</v>
      </c>
      <c r="I32">
        <v>0</v>
      </c>
    </row>
    <row r="33" spans="1:9" x14ac:dyDescent="0.5">
      <c r="A33" t="s">
        <v>542</v>
      </c>
      <c r="B33">
        <v>0.8</v>
      </c>
      <c r="C33">
        <v>1.2</v>
      </c>
      <c r="D33">
        <v>0.3</v>
      </c>
      <c r="E33">
        <v>0.5</v>
      </c>
      <c r="F33">
        <v>0</v>
      </c>
      <c r="G33">
        <v>0</v>
      </c>
      <c r="H33">
        <v>0</v>
      </c>
      <c r="I33">
        <v>0</v>
      </c>
    </row>
    <row r="34" spans="1:9" x14ac:dyDescent="0.5">
      <c r="A34" t="s">
        <v>401</v>
      </c>
      <c r="B34">
        <v>3</v>
      </c>
      <c r="C34">
        <v>4</v>
      </c>
      <c r="D34">
        <v>1</v>
      </c>
      <c r="E34">
        <v>2</v>
      </c>
      <c r="F34">
        <v>0.3</v>
      </c>
      <c r="G34">
        <v>0.5</v>
      </c>
      <c r="H34">
        <v>0</v>
      </c>
      <c r="I34">
        <v>0</v>
      </c>
    </row>
    <row r="35" spans="1:9" x14ac:dyDescent="0.5">
      <c r="A35" t="s">
        <v>485</v>
      </c>
      <c r="B35">
        <v>3</v>
      </c>
      <c r="C35">
        <v>5</v>
      </c>
      <c r="D35">
        <v>1.5</v>
      </c>
      <c r="E35">
        <v>2.5</v>
      </c>
      <c r="F35">
        <v>0.3</v>
      </c>
      <c r="G35">
        <v>0.5</v>
      </c>
      <c r="H35">
        <v>0</v>
      </c>
      <c r="I35">
        <v>0</v>
      </c>
    </row>
    <row r="36" spans="1:9" x14ac:dyDescent="0.5">
      <c r="A36" t="s">
        <v>553</v>
      </c>
      <c r="B36">
        <v>4</v>
      </c>
      <c r="C36">
        <v>6</v>
      </c>
      <c r="D36">
        <v>2</v>
      </c>
      <c r="E36">
        <v>3</v>
      </c>
      <c r="F36">
        <v>0.2</v>
      </c>
      <c r="G36">
        <v>0.4</v>
      </c>
      <c r="H36">
        <v>0.5</v>
      </c>
      <c r="I36">
        <v>1</v>
      </c>
    </row>
    <row r="37" spans="1:9" x14ac:dyDescent="0.5">
      <c r="A37" t="s">
        <v>211</v>
      </c>
      <c r="B37">
        <v>3</v>
      </c>
      <c r="C37">
        <v>5</v>
      </c>
      <c r="D37">
        <v>1.5</v>
      </c>
      <c r="E37">
        <v>2.5</v>
      </c>
      <c r="F37">
        <v>1</v>
      </c>
      <c r="G37">
        <v>2</v>
      </c>
      <c r="H37">
        <v>0</v>
      </c>
      <c r="I37">
        <v>0</v>
      </c>
    </row>
    <row r="38" spans="1:9" x14ac:dyDescent="0.5">
      <c r="A38" t="s">
        <v>472</v>
      </c>
      <c r="B38">
        <v>4</v>
      </c>
      <c r="C38">
        <v>6</v>
      </c>
      <c r="D38">
        <v>2</v>
      </c>
      <c r="E38">
        <v>3</v>
      </c>
      <c r="F38">
        <v>1</v>
      </c>
      <c r="G38">
        <v>2</v>
      </c>
      <c r="H38">
        <v>0.5</v>
      </c>
      <c r="I38">
        <v>1.5</v>
      </c>
    </row>
    <row r="39" spans="1:9" x14ac:dyDescent="0.5">
      <c r="A39" t="s">
        <v>148</v>
      </c>
      <c r="B39">
        <v>3</v>
      </c>
      <c r="C39">
        <v>4</v>
      </c>
      <c r="D39">
        <v>1</v>
      </c>
      <c r="E39">
        <v>1.5</v>
      </c>
      <c r="F39">
        <v>0.05</v>
      </c>
      <c r="G39">
        <v>0.1</v>
      </c>
      <c r="H39">
        <v>0.5</v>
      </c>
      <c r="I39">
        <v>1</v>
      </c>
    </row>
    <row r="40" spans="1:9" x14ac:dyDescent="0.5">
      <c r="A40" t="s">
        <v>627</v>
      </c>
      <c r="B40">
        <v>4</v>
      </c>
      <c r="C40">
        <v>6</v>
      </c>
      <c r="D40">
        <v>2</v>
      </c>
      <c r="E40">
        <v>3</v>
      </c>
      <c r="F40">
        <v>0.5</v>
      </c>
      <c r="G40">
        <v>1</v>
      </c>
      <c r="H40">
        <v>0.5</v>
      </c>
      <c r="I40">
        <v>1</v>
      </c>
    </row>
    <row r="41" spans="1:9" x14ac:dyDescent="0.5">
      <c r="A41" t="s">
        <v>203</v>
      </c>
      <c r="B41">
        <v>3</v>
      </c>
      <c r="C41">
        <v>5</v>
      </c>
      <c r="D41">
        <v>2</v>
      </c>
      <c r="E41">
        <v>3</v>
      </c>
      <c r="F41">
        <v>0.3</v>
      </c>
      <c r="G41">
        <v>0.5</v>
      </c>
      <c r="H41">
        <v>0</v>
      </c>
      <c r="I41">
        <v>0</v>
      </c>
    </row>
    <row r="42" spans="1:9" x14ac:dyDescent="0.5">
      <c r="A42" t="s">
        <v>271</v>
      </c>
      <c r="B42">
        <v>1.5</v>
      </c>
      <c r="C42">
        <v>2.5</v>
      </c>
      <c r="D42">
        <v>1.5</v>
      </c>
      <c r="E42">
        <v>2.5</v>
      </c>
      <c r="F42">
        <v>0.05</v>
      </c>
      <c r="G42">
        <v>0.1</v>
      </c>
      <c r="H42">
        <v>0.5</v>
      </c>
      <c r="I42">
        <v>1</v>
      </c>
    </row>
    <row r="43" spans="1:9" x14ac:dyDescent="0.5">
      <c r="A43" t="s">
        <v>503</v>
      </c>
      <c r="B43">
        <v>2.5</v>
      </c>
      <c r="C43">
        <v>3.5</v>
      </c>
      <c r="D43">
        <v>1.5</v>
      </c>
      <c r="E43">
        <v>2</v>
      </c>
      <c r="F43">
        <v>0.1</v>
      </c>
      <c r="G43">
        <v>0.2</v>
      </c>
      <c r="H43">
        <v>0.5</v>
      </c>
      <c r="I43">
        <v>1</v>
      </c>
    </row>
    <row r="44" spans="1:9" x14ac:dyDescent="0.5">
      <c r="A44" t="s">
        <v>230</v>
      </c>
      <c r="B44">
        <v>2</v>
      </c>
      <c r="C44">
        <v>3</v>
      </c>
      <c r="D44">
        <v>1</v>
      </c>
      <c r="E44">
        <v>1.5</v>
      </c>
      <c r="F44">
        <v>0.02</v>
      </c>
      <c r="G44">
        <v>0.05</v>
      </c>
      <c r="H44">
        <v>0.5</v>
      </c>
      <c r="I44">
        <v>1</v>
      </c>
    </row>
    <row r="45" spans="1:9" x14ac:dyDescent="0.5">
      <c r="A45" t="s">
        <v>490</v>
      </c>
      <c r="B45">
        <v>2</v>
      </c>
      <c r="C45">
        <v>3</v>
      </c>
      <c r="D45">
        <v>1.5</v>
      </c>
      <c r="E45">
        <v>2</v>
      </c>
      <c r="F45">
        <v>0.1</v>
      </c>
      <c r="G45">
        <v>0.2</v>
      </c>
      <c r="H45">
        <v>0</v>
      </c>
      <c r="I45">
        <v>0</v>
      </c>
    </row>
    <row r="46" spans="1:9" x14ac:dyDescent="0.5">
      <c r="A46" t="s">
        <v>350</v>
      </c>
      <c r="B46">
        <v>2.5</v>
      </c>
      <c r="C46">
        <v>4</v>
      </c>
      <c r="D46">
        <v>1</v>
      </c>
      <c r="E46">
        <v>1.5</v>
      </c>
      <c r="F46">
        <v>0.2</v>
      </c>
      <c r="G46">
        <v>0.4</v>
      </c>
      <c r="H46">
        <v>0</v>
      </c>
      <c r="I46">
        <v>0</v>
      </c>
    </row>
    <row r="47" spans="1:9" x14ac:dyDescent="0.5">
      <c r="A47" t="s">
        <v>483</v>
      </c>
      <c r="B47">
        <v>2.5</v>
      </c>
      <c r="C47">
        <v>4</v>
      </c>
      <c r="D47">
        <v>1.5</v>
      </c>
      <c r="E47">
        <v>2</v>
      </c>
      <c r="F47">
        <v>0.5</v>
      </c>
      <c r="G47">
        <v>1</v>
      </c>
      <c r="H47">
        <v>0</v>
      </c>
      <c r="I47">
        <v>0</v>
      </c>
    </row>
    <row r="48" spans="1:9" x14ac:dyDescent="0.5">
      <c r="A48" t="s">
        <v>314</v>
      </c>
      <c r="B48">
        <v>2</v>
      </c>
      <c r="C48">
        <v>3</v>
      </c>
      <c r="D48">
        <v>1.5</v>
      </c>
      <c r="E48">
        <v>2</v>
      </c>
      <c r="F48">
        <v>0.05</v>
      </c>
      <c r="G48">
        <v>0.1</v>
      </c>
      <c r="H48">
        <v>0</v>
      </c>
      <c r="I48">
        <v>0</v>
      </c>
    </row>
    <row r="49" spans="1:9" x14ac:dyDescent="0.5">
      <c r="A49" t="s">
        <v>449</v>
      </c>
      <c r="B49">
        <v>1.5</v>
      </c>
      <c r="C49">
        <v>2</v>
      </c>
      <c r="D49">
        <v>1</v>
      </c>
      <c r="E49">
        <v>1.5</v>
      </c>
      <c r="F49">
        <v>0.1</v>
      </c>
      <c r="G49">
        <v>0.2</v>
      </c>
      <c r="H49">
        <v>0</v>
      </c>
      <c r="I49">
        <v>0</v>
      </c>
    </row>
    <row r="50" spans="1:9" x14ac:dyDescent="0.5">
      <c r="A50" t="s">
        <v>494</v>
      </c>
      <c r="B50">
        <v>1.5</v>
      </c>
      <c r="C50">
        <v>2.5</v>
      </c>
      <c r="D50">
        <v>0.5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 x14ac:dyDescent="0.5">
      <c r="A51" t="s">
        <v>115</v>
      </c>
      <c r="B51">
        <v>2.5</v>
      </c>
      <c r="C51">
        <v>4</v>
      </c>
      <c r="D51">
        <v>1</v>
      </c>
      <c r="E51">
        <v>2</v>
      </c>
      <c r="F51">
        <v>0.05</v>
      </c>
      <c r="G51">
        <v>0.1</v>
      </c>
      <c r="H51">
        <v>0</v>
      </c>
      <c r="I51">
        <v>0</v>
      </c>
    </row>
    <row r="52" spans="1:9" x14ac:dyDescent="0.5">
      <c r="A52" t="s">
        <v>339</v>
      </c>
      <c r="B52">
        <v>1.5</v>
      </c>
      <c r="C52">
        <v>2.5</v>
      </c>
      <c r="D52">
        <v>0.8</v>
      </c>
      <c r="E52">
        <v>1.2</v>
      </c>
      <c r="F52">
        <v>0.01</v>
      </c>
      <c r="G52">
        <v>0.02</v>
      </c>
      <c r="H52">
        <v>0.5</v>
      </c>
      <c r="I52">
        <v>1</v>
      </c>
    </row>
    <row r="53" spans="1:9" x14ac:dyDescent="0.5">
      <c r="A53" t="s">
        <v>367</v>
      </c>
      <c r="B53">
        <v>2</v>
      </c>
      <c r="C53">
        <v>3</v>
      </c>
      <c r="D53">
        <v>1.5</v>
      </c>
      <c r="E53">
        <v>2</v>
      </c>
      <c r="F53">
        <v>0.3</v>
      </c>
      <c r="G53">
        <v>0.5</v>
      </c>
      <c r="H53">
        <v>0.5</v>
      </c>
      <c r="I53">
        <v>1</v>
      </c>
    </row>
    <row r="54" spans="1:9" x14ac:dyDescent="0.5">
      <c r="A54" t="s">
        <v>260</v>
      </c>
      <c r="B54">
        <v>2</v>
      </c>
      <c r="C54">
        <v>3</v>
      </c>
      <c r="D54">
        <v>1</v>
      </c>
      <c r="E54">
        <v>1.5</v>
      </c>
      <c r="F54">
        <v>1.5</v>
      </c>
      <c r="G54">
        <v>2.5</v>
      </c>
      <c r="H54">
        <v>0</v>
      </c>
      <c r="I54">
        <v>0</v>
      </c>
    </row>
    <row r="55" spans="1:9" x14ac:dyDescent="0.5">
      <c r="A55" t="s">
        <v>375</v>
      </c>
      <c r="B55">
        <v>1.5</v>
      </c>
      <c r="C55">
        <v>2.5</v>
      </c>
      <c r="D55">
        <v>0.5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 x14ac:dyDescent="0.5">
      <c r="A56" t="s">
        <v>431</v>
      </c>
      <c r="B56">
        <v>2.5</v>
      </c>
      <c r="C56">
        <v>3.5</v>
      </c>
      <c r="D56">
        <v>1.5</v>
      </c>
      <c r="E56">
        <v>2</v>
      </c>
      <c r="F56">
        <v>0.1</v>
      </c>
      <c r="G56">
        <v>0.2</v>
      </c>
      <c r="H56">
        <v>0</v>
      </c>
      <c r="I56">
        <v>0</v>
      </c>
    </row>
    <row r="57" spans="1:9" x14ac:dyDescent="0.5">
      <c r="A57" t="s">
        <v>545</v>
      </c>
      <c r="B57">
        <v>1</v>
      </c>
      <c r="C57">
        <v>1.5</v>
      </c>
      <c r="D57">
        <v>0.5</v>
      </c>
      <c r="E57">
        <v>1</v>
      </c>
      <c r="F57">
        <v>0.02</v>
      </c>
      <c r="G57">
        <v>0.05</v>
      </c>
      <c r="H57">
        <v>0.5</v>
      </c>
      <c r="I57">
        <v>1</v>
      </c>
    </row>
    <row r="58" spans="1:9" x14ac:dyDescent="0.5">
      <c r="A58" t="s">
        <v>246</v>
      </c>
      <c r="B58">
        <v>1.5</v>
      </c>
      <c r="C58">
        <v>2</v>
      </c>
      <c r="D58">
        <v>0.5</v>
      </c>
      <c r="E58">
        <v>1</v>
      </c>
      <c r="F58">
        <v>0.3</v>
      </c>
      <c r="G58">
        <v>0.5</v>
      </c>
      <c r="H58">
        <v>0</v>
      </c>
      <c r="I58">
        <v>0</v>
      </c>
    </row>
    <row r="59" spans="1:9" x14ac:dyDescent="0.5">
      <c r="A59" t="s">
        <v>369</v>
      </c>
      <c r="B59">
        <v>1.5</v>
      </c>
      <c r="C59">
        <v>2.5</v>
      </c>
      <c r="D59">
        <v>0.8</v>
      </c>
      <c r="E59">
        <v>1.5</v>
      </c>
      <c r="F59">
        <v>0.2</v>
      </c>
      <c r="G59">
        <v>0.4</v>
      </c>
      <c r="H59">
        <v>0</v>
      </c>
      <c r="I59">
        <v>0</v>
      </c>
    </row>
    <row r="60" spans="1:9" x14ac:dyDescent="0.5">
      <c r="A60" t="s">
        <v>121</v>
      </c>
      <c r="B60">
        <v>1.5</v>
      </c>
      <c r="C60">
        <v>2.5</v>
      </c>
      <c r="D60">
        <v>0.5</v>
      </c>
      <c r="E60">
        <v>1</v>
      </c>
      <c r="F60">
        <v>0.5</v>
      </c>
      <c r="G60">
        <v>1</v>
      </c>
      <c r="H60">
        <v>0</v>
      </c>
      <c r="I60">
        <v>0</v>
      </c>
    </row>
    <row r="61" spans="1:9" x14ac:dyDescent="0.5">
      <c r="A61" t="s">
        <v>242</v>
      </c>
      <c r="B61">
        <v>1.5</v>
      </c>
      <c r="C61">
        <v>2</v>
      </c>
      <c r="D61">
        <v>0.5</v>
      </c>
      <c r="E61">
        <v>1</v>
      </c>
      <c r="F61">
        <v>0.05</v>
      </c>
      <c r="G61">
        <v>0.1</v>
      </c>
      <c r="H61">
        <v>0</v>
      </c>
      <c r="I61">
        <v>0</v>
      </c>
    </row>
    <row r="62" spans="1:9" x14ac:dyDescent="0.5">
      <c r="A62" t="s">
        <v>563</v>
      </c>
      <c r="B62">
        <v>1.5</v>
      </c>
      <c r="C62">
        <v>2</v>
      </c>
      <c r="D62">
        <v>0.5</v>
      </c>
      <c r="E62">
        <v>1</v>
      </c>
      <c r="F62">
        <v>0.05</v>
      </c>
      <c r="G62">
        <v>0.1</v>
      </c>
      <c r="H62">
        <v>0</v>
      </c>
      <c r="I62">
        <v>0</v>
      </c>
    </row>
    <row r="63" spans="1:9" x14ac:dyDescent="0.5">
      <c r="A63" t="s">
        <v>324</v>
      </c>
      <c r="B63">
        <v>1.2</v>
      </c>
      <c r="C63">
        <v>1.8</v>
      </c>
      <c r="D63">
        <v>0.5</v>
      </c>
      <c r="E63">
        <v>0.8</v>
      </c>
      <c r="F63">
        <v>0.1</v>
      </c>
      <c r="G63">
        <v>0.2</v>
      </c>
      <c r="H63">
        <v>0</v>
      </c>
      <c r="I63">
        <v>0</v>
      </c>
    </row>
    <row r="64" spans="1:9" x14ac:dyDescent="0.5">
      <c r="A64" t="s">
        <v>470</v>
      </c>
      <c r="B64">
        <v>1.5</v>
      </c>
      <c r="C64">
        <v>2.5</v>
      </c>
      <c r="D64">
        <v>0.5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 x14ac:dyDescent="0.5">
      <c r="A65" t="s">
        <v>181</v>
      </c>
      <c r="B65">
        <v>1.2</v>
      </c>
      <c r="C65">
        <v>1.8</v>
      </c>
      <c r="D65">
        <v>0.8</v>
      </c>
      <c r="E65">
        <v>1.2</v>
      </c>
      <c r="F65">
        <v>0.05</v>
      </c>
      <c r="G65">
        <v>0.1</v>
      </c>
      <c r="H65">
        <v>0.5</v>
      </c>
      <c r="I65">
        <v>1</v>
      </c>
    </row>
    <row r="66" spans="1:9" x14ac:dyDescent="0.5">
      <c r="A66" t="s">
        <v>625</v>
      </c>
      <c r="B66">
        <v>1.5</v>
      </c>
      <c r="C66">
        <v>2.5</v>
      </c>
      <c r="D66">
        <v>0.8</v>
      </c>
      <c r="E66">
        <v>1.5</v>
      </c>
      <c r="F66">
        <v>0.3</v>
      </c>
      <c r="G66">
        <v>0.5</v>
      </c>
      <c r="H66">
        <v>0</v>
      </c>
      <c r="I66">
        <v>0</v>
      </c>
    </row>
    <row r="67" spans="1:9" x14ac:dyDescent="0.5">
      <c r="A67" t="s">
        <v>594</v>
      </c>
      <c r="B67">
        <v>1.2</v>
      </c>
      <c r="C67">
        <v>1.8</v>
      </c>
      <c r="D67">
        <v>0.8</v>
      </c>
      <c r="E67">
        <v>1.2</v>
      </c>
      <c r="F67">
        <v>0.01</v>
      </c>
      <c r="G67">
        <v>0.02</v>
      </c>
      <c r="H67">
        <v>0</v>
      </c>
      <c r="I67">
        <v>0</v>
      </c>
    </row>
    <row r="68" spans="1:9" x14ac:dyDescent="0.5">
      <c r="A68" t="s">
        <v>310</v>
      </c>
      <c r="B68">
        <v>1.2</v>
      </c>
      <c r="C68">
        <v>2</v>
      </c>
      <c r="D68">
        <v>0.5</v>
      </c>
      <c r="E68">
        <v>1</v>
      </c>
      <c r="F68">
        <v>0.1</v>
      </c>
      <c r="G68">
        <v>0.2</v>
      </c>
      <c r="H68">
        <v>0</v>
      </c>
      <c r="I68">
        <v>0</v>
      </c>
    </row>
    <row r="69" spans="1:9" x14ac:dyDescent="0.5">
      <c r="A69" t="s">
        <v>476</v>
      </c>
      <c r="B69">
        <v>1</v>
      </c>
      <c r="C69">
        <v>1.5</v>
      </c>
      <c r="D69">
        <v>0.3</v>
      </c>
      <c r="E69">
        <v>0.5</v>
      </c>
      <c r="F69">
        <v>0.1</v>
      </c>
      <c r="G69">
        <v>0.2</v>
      </c>
      <c r="H69">
        <v>0</v>
      </c>
      <c r="I69">
        <v>0</v>
      </c>
    </row>
    <row r="70" spans="1:9" x14ac:dyDescent="0.5">
      <c r="A70" t="s">
        <v>580</v>
      </c>
      <c r="B70">
        <v>1.2</v>
      </c>
      <c r="C70">
        <v>2</v>
      </c>
      <c r="D70">
        <v>0.5</v>
      </c>
      <c r="E70">
        <v>1</v>
      </c>
      <c r="F70">
        <v>0.3</v>
      </c>
      <c r="G70">
        <v>0.5</v>
      </c>
      <c r="H70">
        <v>0</v>
      </c>
      <c r="I70">
        <v>0</v>
      </c>
    </row>
    <row r="71" spans="1:9" x14ac:dyDescent="0.5">
      <c r="A71" t="s">
        <v>219</v>
      </c>
      <c r="B71">
        <v>1</v>
      </c>
      <c r="C71">
        <v>1.5</v>
      </c>
      <c r="D71">
        <v>0.5</v>
      </c>
      <c r="E71">
        <v>0.8</v>
      </c>
      <c r="F71">
        <v>0.1</v>
      </c>
      <c r="G71">
        <v>0.2</v>
      </c>
      <c r="H71">
        <v>0</v>
      </c>
      <c r="I71">
        <v>0</v>
      </c>
    </row>
    <row r="72" spans="1:9" x14ac:dyDescent="0.5">
      <c r="A72" t="s">
        <v>621</v>
      </c>
      <c r="B72">
        <v>1.5</v>
      </c>
      <c r="C72">
        <v>2.5</v>
      </c>
      <c r="D72">
        <v>0.8</v>
      </c>
      <c r="E72">
        <v>1.2</v>
      </c>
      <c r="F72">
        <v>0.2</v>
      </c>
      <c r="G72">
        <v>0.4</v>
      </c>
      <c r="H72">
        <v>0.5</v>
      </c>
      <c r="I72">
        <v>1</v>
      </c>
    </row>
    <row r="73" spans="1:9" x14ac:dyDescent="0.5">
      <c r="A73" t="s">
        <v>223</v>
      </c>
      <c r="B73">
        <v>1</v>
      </c>
      <c r="C73">
        <v>1.5</v>
      </c>
      <c r="D73">
        <v>0.5</v>
      </c>
      <c r="E73">
        <v>0.8</v>
      </c>
      <c r="F73">
        <v>0.05</v>
      </c>
      <c r="G73">
        <v>0.1</v>
      </c>
      <c r="H73">
        <v>0</v>
      </c>
      <c r="I73">
        <v>0</v>
      </c>
    </row>
    <row r="74" spans="1:9" x14ac:dyDescent="0.5">
      <c r="A74" t="s">
        <v>619</v>
      </c>
      <c r="B74">
        <v>1</v>
      </c>
      <c r="C74">
        <v>1.5</v>
      </c>
      <c r="D74">
        <v>0.8</v>
      </c>
      <c r="E74">
        <v>1.2</v>
      </c>
      <c r="F74">
        <v>0.05</v>
      </c>
      <c r="G74">
        <v>0.1</v>
      </c>
      <c r="H74">
        <v>0</v>
      </c>
      <c r="I74">
        <v>0</v>
      </c>
    </row>
    <row r="75" spans="1:9" x14ac:dyDescent="0.5">
      <c r="A75" t="s">
        <v>383</v>
      </c>
      <c r="B75">
        <v>0.8</v>
      </c>
      <c r="C75">
        <v>1.2</v>
      </c>
      <c r="D75">
        <v>0.3</v>
      </c>
      <c r="E75">
        <v>0.5</v>
      </c>
      <c r="F75">
        <v>0.01</v>
      </c>
      <c r="G75">
        <v>0.02</v>
      </c>
      <c r="H75">
        <v>0</v>
      </c>
      <c r="I75">
        <v>0</v>
      </c>
    </row>
    <row r="76" spans="1:9" x14ac:dyDescent="0.5">
      <c r="A76" t="s">
        <v>221</v>
      </c>
      <c r="B76">
        <v>1</v>
      </c>
      <c r="C76">
        <v>1.5</v>
      </c>
      <c r="D76">
        <v>0.3</v>
      </c>
      <c r="E76">
        <v>0.5</v>
      </c>
      <c r="F76">
        <v>0.2</v>
      </c>
      <c r="G76">
        <v>0.3</v>
      </c>
      <c r="H76">
        <v>0</v>
      </c>
      <c r="I76">
        <v>0</v>
      </c>
    </row>
    <row r="77" spans="1:9" x14ac:dyDescent="0.5">
      <c r="A77" t="s">
        <v>393</v>
      </c>
      <c r="B77">
        <v>0.8</v>
      </c>
      <c r="C77">
        <v>1.2</v>
      </c>
      <c r="D77">
        <v>0.5</v>
      </c>
      <c r="E77">
        <v>0.8</v>
      </c>
      <c r="F77">
        <v>0.01</v>
      </c>
      <c r="G77">
        <v>0.02</v>
      </c>
      <c r="H77">
        <v>0</v>
      </c>
      <c r="I77">
        <v>0</v>
      </c>
    </row>
    <row r="78" spans="1:9" x14ac:dyDescent="0.5">
      <c r="A78" t="s">
        <v>535</v>
      </c>
      <c r="B78">
        <v>1</v>
      </c>
      <c r="C78">
        <v>1.5</v>
      </c>
      <c r="D78">
        <v>0.5</v>
      </c>
      <c r="E78">
        <v>0.8</v>
      </c>
      <c r="F78">
        <v>0.1</v>
      </c>
      <c r="G78">
        <v>0.2</v>
      </c>
      <c r="H78">
        <v>0</v>
      </c>
      <c r="I78">
        <v>0</v>
      </c>
    </row>
    <row r="79" spans="1:9" x14ac:dyDescent="0.5">
      <c r="A79" t="s">
        <v>547</v>
      </c>
      <c r="B79">
        <v>0.6</v>
      </c>
      <c r="C79">
        <v>1</v>
      </c>
      <c r="D79">
        <v>0.3</v>
      </c>
      <c r="E79">
        <v>0.5</v>
      </c>
      <c r="F79">
        <v>0.02</v>
      </c>
      <c r="G79">
        <v>0.05</v>
      </c>
      <c r="H79">
        <v>0.5</v>
      </c>
      <c r="I79">
        <v>1</v>
      </c>
    </row>
    <row r="80" spans="1:9" x14ac:dyDescent="0.5">
      <c r="A80" t="s">
        <v>190</v>
      </c>
      <c r="B80">
        <v>1</v>
      </c>
      <c r="C80">
        <v>1.5</v>
      </c>
      <c r="D80">
        <v>0.3</v>
      </c>
      <c r="E80">
        <v>0.5</v>
      </c>
      <c r="F80">
        <v>0.2</v>
      </c>
      <c r="G80">
        <v>0.3</v>
      </c>
      <c r="H80">
        <v>0</v>
      </c>
      <c r="I80">
        <v>0</v>
      </c>
    </row>
    <row r="81" spans="1:9" x14ac:dyDescent="0.5">
      <c r="A81" t="s">
        <v>165</v>
      </c>
      <c r="B81">
        <v>0.8</v>
      </c>
      <c r="C81">
        <v>1.2</v>
      </c>
      <c r="D81">
        <v>0.3</v>
      </c>
      <c r="E81">
        <v>0.5</v>
      </c>
      <c r="F81">
        <v>0.1</v>
      </c>
      <c r="G81">
        <v>0.2</v>
      </c>
      <c r="H81">
        <v>0</v>
      </c>
      <c r="I81">
        <v>0</v>
      </c>
    </row>
    <row r="82" spans="1:9" x14ac:dyDescent="0.5">
      <c r="A82" t="s">
        <v>435</v>
      </c>
      <c r="B82">
        <v>1.2</v>
      </c>
      <c r="C82">
        <v>1.8</v>
      </c>
      <c r="D82">
        <v>0.5</v>
      </c>
      <c r="E82">
        <v>0.8</v>
      </c>
      <c r="F82">
        <v>0.3</v>
      </c>
      <c r="G82">
        <v>0.5</v>
      </c>
      <c r="H82">
        <v>0</v>
      </c>
      <c r="I82">
        <v>0</v>
      </c>
    </row>
    <row r="83" spans="1:9" x14ac:dyDescent="0.5">
      <c r="A83" t="s">
        <v>480</v>
      </c>
      <c r="B83">
        <v>0.8</v>
      </c>
      <c r="C83">
        <v>1.2</v>
      </c>
      <c r="D83">
        <v>0.3</v>
      </c>
      <c r="E83">
        <v>0.5</v>
      </c>
      <c r="F83">
        <v>0.05</v>
      </c>
      <c r="G83">
        <v>0.1</v>
      </c>
      <c r="H83">
        <v>0</v>
      </c>
      <c r="I83">
        <v>0</v>
      </c>
    </row>
    <row r="84" spans="1:9" x14ac:dyDescent="0.5">
      <c r="A84" t="s">
        <v>604</v>
      </c>
      <c r="B84">
        <v>1</v>
      </c>
      <c r="C84">
        <v>1.5</v>
      </c>
      <c r="D84">
        <v>0.3</v>
      </c>
      <c r="E84">
        <v>0.5</v>
      </c>
      <c r="F84">
        <v>0.2</v>
      </c>
      <c r="G84">
        <v>0.3</v>
      </c>
      <c r="H84">
        <v>0</v>
      </c>
      <c r="I84">
        <v>0</v>
      </c>
    </row>
    <row r="85" spans="1:9" x14ac:dyDescent="0.5">
      <c r="A85" t="s">
        <v>389</v>
      </c>
      <c r="B85">
        <v>1</v>
      </c>
      <c r="C85">
        <v>1.5</v>
      </c>
      <c r="D85">
        <v>0.5</v>
      </c>
      <c r="E85">
        <v>0.8</v>
      </c>
      <c r="F85">
        <v>0</v>
      </c>
      <c r="G85">
        <v>0</v>
      </c>
      <c r="H85">
        <v>0</v>
      </c>
      <c r="I85">
        <v>0</v>
      </c>
    </row>
    <row r="86" spans="1:9" x14ac:dyDescent="0.5">
      <c r="A86" t="s">
        <v>365</v>
      </c>
      <c r="B86">
        <v>1</v>
      </c>
      <c r="C86">
        <v>1.5</v>
      </c>
      <c r="D86">
        <v>0.5</v>
      </c>
      <c r="E86">
        <v>0.8</v>
      </c>
      <c r="F86">
        <v>0.01</v>
      </c>
      <c r="G86">
        <v>0.02</v>
      </c>
      <c r="H86">
        <v>0.5</v>
      </c>
      <c r="I86">
        <v>1</v>
      </c>
    </row>
    <row r="87" spans="1:9" x14ac:dyDescent="0.5">
      <c r="A87" t="s">
        <v>146</v>
      </c>
      <c r="B87">
        <v>0.5</v>
      </c>
      <c r="C87">
        <v>0.8</v>
      </c>
      <c r="D87">
        <v>0.2</v>
      </c>
      <c r="E87">
        <v>0.3</v>
      </c>
      <c r="F87">
        <v>0</v>
      </c>
      <c r="G87">
        <v>0</v>
      </c>
      <c r="H87">
        <v>0</v>
      </c>
      <c r="I87">
        <v>0</v>
      </c>
    </row>
    <row r="88" spans="1:9" x14ac:dyDescent="0.5">
      <c r="A88" t="s">
        <v>598</v>
      </c>
      <c r="B88">
        <v>0.8</v>
      </c>
      <c r="C88">
        <v>1.2</v>
      </c>
      <c r="D88">
        <v>0.5</v>
      </c>
      <c r="E88">
        <v>0.8</v>
      </c>
      <c r="F88">
        <v>0.05</v>
      </c>
      <c r="G88">
        <v>0.1</v>
      </c>
      <c r="H88">
        <v>0</v>
      </c>
      <c r="I88">
        <v>0</v>
      </c>
    </row>
    <row r="89" spans="1:9" x14ac:dyDescent="0.5">
      <c r="A89" t="s">
        <v>142</v>
      </c>
      <c r="B89">
        <v>0.8</v>
      </c>
      <c r="C89">
        <v>1.2</v>
      </c>
      <c r="D89">
        <v>0.5</v>
      </c>
      <c r="E89">
        <v>0.8</v>
      </c>
      <c r="F89">
        <v>0.1</v>
      </c>
      <c r="G89">
        <v>0.2</v>
      </c>
      <c r="H89">
        <v>0</v>
      </c>
      <c r="I89">
        <v>0</v>
      </c>
    </row>
    <row r="90" spans="1:9" x14ac:dyDescent="0.5">
      <c r="A90" t="s">
        <v>152</v>
      </c>
      <c r="B90">
        <v>0.8</v>
      </c>
      <c r="C90">
        <v>1.2</v>
      </c>
      <c r="D90">
        <v>0.5</v>
      </c>
      <c r="E90">
        <v>0.8</v>
      </c>
      <c r="F90">
        <v>0.01</v>
      </c>
      <c r="G90">
        <v>0.02</v>
      </c>
      <c r="H90">
        <v>0.5</v>
      </c>
      <c r="I90">
        <v>1</v>
      </c>
    </row>
    <row r="91" spans="1:9" x14ac:dyDescent="0.5">
      <c r="A91" t="s">
        <v>640</v>
      </c>
      <c r="B91">
        <v>0.8</v>
      </c>
      <c r="C91">
        <v>1.2</v>
      </c>
      <c r="D91">
        <v>0.3</v>
      </c>
      <c r="E91">
        <v>0.5</v>
      </c>
      <c r="F91">
        <v>0.2</v>
      </c>
      <c r="G91">
        <v>0.3</v>
      </c>
      <c r="H91">
        <v>0</v>
      </c>
      <c r="I91">
        <v>0</v>
      </c>
    </row>
    <row r="92" spans="1:9" x14ac:dyDescent="0.5">
      <c r="A92" t="s">
        <v>533</v>
      </c>
      <c r="B92">
        <v>0.8</v>
      </c>
      <c r="C92">
        <v>1.2</v>
      </c>
      <c r="D92">
        <v>0.3</v>
      </c>
      <c r="E92">
        <v>0.5</v>
      </c>
      <c r="F92">
        <v>0.05</v>
      </c>
      <c r="G92">
        <v>0.1</v>
      </c>
      <c r="H92">
        <v>0</v>
      </c>
      <c r="I92">
        <v>0</v>
      </c>
    </row>
    <row r="93" spans="1:9" x14ac:dyDescent="0.5">
      <c r="A93" t="s">
        <v>381</v>
      </c>
      <c r="B93">
        <v>0.5</v>
      </c>
      <c r="C93">
        <v>0.8</v>
      </c>
      <c r="D93">
        <v>0.3</v>
      </c>
      <c r="E93">
        <v>0.5</v>
      </c>
      <c r="F93">
        <v>0.01</v>
      </c>
      <c r="G93">
        <v>0.02</v>
      </c>
      <c r="H93">
        <v>0</v>
      </c>
      <c r="I93">
        <v>0</v>
      </c>
    </row>
    <row r="94" spans="1:9" x14ac:dyDescent="0.5">
      <c r="A94" t="s">
        <v>441</v>
      </c>
      <c r="B94">
        <v>0.8</v>
      </c>
      <c r="C94">
        <v>1.2</v>
      </c>
      <c r="D94">
        <v>0.3</v>
      </c>
      <c r="E94">
        <v>0.5</v>
      </c>
      <c r="F94">
        <v>0.5</v>
      </c>
      <c r="G94">
        <v>0.8</v>
      </c>
      <c r="H94">
        <v>0</v>
      </c>
      <c r="I94">
        <v>0</v>
      </c>
    </row>
    <row r="95" spans="1:9" x14ac:dyDescent="0.5">
      <c r="A95" t="s">
        <v>250</v>
      </c>
      <c r="B95">
        <v>0.6</v>
      </c>
      <c r="C95">
        <v>1</v>
      </c>
      <c r="D95">
        <v>0.2</v>
      </c>
      <c r="E95">
        <v>0.4</v>
      </c>
      <c r="F95">
        <v>0.02</v>
      </c>
      <c r="G95">
        <v>0.05</v>
      </c>
      <c r="H95">
        <v>0</v>
      </c>
      <c r="I95">
        <v>0</v>
      </c>
    </row>
    <row r="96" spans="1:9" x14ac:dyDescent="0.5">
      <c r="A96" t="s">
        <v>256</v>
      </c>
      <c r="B96">
        <v>0.5</v>
      </c>
      <c r="C96">
        <v>0.8</v>
      </c>
      <c r="D96">
        <v>0.3</v>
      </c>
      <c r="E96">
        <v>0.5</v>
      </c>
      <c r="F96">
        <v>0</v>
      </c>
      <c r="G96">
        <v>0</v>
      </c>
      <c r="H96">
        <v>0</v>
      </c>
      <c r="I96">
        <v>0</v>
      </c>
    </row>
    <row r="97" spans="1:9" x14ac:dyDescent="0.5">
      <c r="A97" t="s">
        <v>337</v>
      </c>
      <c r="B97">
        <v>0.8</v>
      </c>
      <c r="C97">
        <v>1.2</v>
      </c>
      <c r="D97">
        <v>0.3</v>
      </c>
      <c r="E97">
        <v>0.5</v>
      </c>
      <c r="F97">
        <v>0.05</v>
      </c>
      <c r="G97">
        <v>0.1</v>
      </c>
      <c r="H97">
        <v>0</v>
      </c>
      <c r="I97">
        <v>0</v>
      </c>
    </row>
    <row r="98" spans="1:9" x14ac:dyDescent="0.5">
      <c r="A98" t="s">
        <v>188</v>
      </c>
      <c r="B98">
        <v>0.8</v>
      </c>
      <c r="C98">
        <v>1.2</v>
      </c>
      <c r="D98">
        <v>0.3</v>
      </c>
      <c r="E98">
        <v>0.5</v>
      </c>
      <c r="F98">
        <v>0.1</v>
      </c>
      <c r="G98">
        <v>0.2</v>
      </c>
      <c r="H98">
        <v>0</v>
      </c>
      <c r="I98">
        <v>0</v>
      </c>
    </row>
    <row r="99" spans="1:9" x14ac:dyDescent="0.5">
      <c r="A99" t="s">
        <v>228</v>
      </c>
      <c r="B99">
        <v>0.4</v>
      </c>
      <c r="C99">
        <v>0.6</v>
      </c>
      <c r="D99">
        <v>0.2</v>
      </c>
      <c r="E99">
        <v>0.3</v>
      </c>
      <c r="F99">
        <v>0</v>
      </c>
      <c r="G99">
        <v>0</v>
      </c>
      <c r="H99">
        <v>0</v>
      </c>
      <c r="I99">
        <v>0</v>
      </c>
    </row>
    <row r="100" spans="1:9" x14ac:dyDescent="0.5">
      <c r="A100" t="s">
        <v>638</v>
      </c>
      <c r="B100">
        <v>0.8</v>
      </c>
      <c r="C100">
        <v>1.2</v>
      </c>
      <c r="D100">
        <v>0.3</v>
      </c>
      <c r="E100">
        <v>0.5</v>
      </c>
      <c r="F100">
        <v>0.3</v>
      </c>
      <c r="G100">
        <v>0.5</v>
      </c>
      <c r="H100">
        <v>0</v>
      </c>
      <c r="I10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F248-5E0A-4B09-B0C8-9107305B49BE}">
  <dimension ref="A1:A73"/>
  <sheetViews>
    <sheetView workbookViewId="0"/>
  </sheetViews>
  <sheetFormatPr defaultRowHeight="15.75" x14ac:dyDescent="0.5"/>
  <sheetData>
    <row r="1" spans="1:1" ht="23.25" x14ac:dyDescent="0.5">
      <c r="A1" s="10" t="s">
        <v>2183</v>
      </c>
    </row>
    <row r="3" spans="1:1" x14ac:dyDescent="0.5">
      <c r="A3" s="2" t="s">
        <v>2217</v>
      </c>
    </row>
    <row r="4" spans="1:1" x14ac:dyDescent="0.5">
      <c r="A4" s="12"/>
    </row>
    <row r="5" spans="1:1" x14ac:dyDescent="0.5">
      <c r="A5" s="12" t="s">
        <v>2218</v>
      </c>
    </row>
    <row r="6" spans="1:1" x14ac:dyDescent="0.5">
      <c r="A6" s="12" t="s">
        <v>2219</v>
      </c>
    </row>
    <row r="8" spans="1:1" x14ac:dyDescent="0.5">
      <c r="A8" s="2" t="s">
        <v>2220</v>
      </c>
    </row>
    <row r="9" spans="1:1" x14ac:dyDescent="0.5">
      <c r="A9" s="12"/>
    </row>
    <row r="10" spans="1:1" x14ac:dyDescent="0.5">
      <c r="A10" s="12" t="s">
        <v>2221</v>
      </c>
    </row>
    <row r="11" spans="1:1" x14ac:dyDescent="0.5">
      <c r="A11" s="12" t="s">
        <v>2222</v>
      </c>
    </row>
    <row r="13" spans="1:1" x14ac:dyDescent="0.5">
      <c r="A13" s="2" t="s">
        <v>2223</v>
      </c>
    </row>
    <row r="14" spans="1:1" x14ac:dyDescent="0.5">
      <c r="A14" s="12"/>
    </row>
    <row r="15" spans="1:1" x14ac:dyDescent="0.5">
      <c r="A15" s="12" t="s">
        <v>2224</v>
      </c>
    </row>
    <row r="16" spans="1:1" x14ac:dyDescent="0.5">
      <c r="A16" s="12" t="s">
        <v>2225</v>
      </c>
    </row>
    <row r="17" spans="1:1" x14ac:dyDescent="0.5">
      <c r="A17" s="12" t="s">
        <v>2226</v>
      </c>
    </row>
    <row r="18" spans="1:1" x14ac:dyDescent="0.5">
      <c r="A18" s="12" t="s">
        <v>2227</v>
      </c>
    </row>
    <row r="20" spans="1:1" x14ac:dyDescent="0.5">
      <c r="A20" s="2" t="s">
        <v>2228</v>
      </c>
    </row>
    <row r="21" spans="1:1" x14ac:dyDescent="0.5">
      <c r="A21" s="12"/>
    </row>
    <row r="22" spans="1:1" x14ac:dyDescent="0.5">
      <c r="A22" s="12" t="s">
        <v>2229</v>
      </c>
    </row>
    <row r="23" spans="1:1" x14ac:dyDescent="0.5">
      <c r="A23" s="12" t="s">
        <v>2230</v>
      </c>
    </row>
    <row r="24" spans="1:1" x14ac:dyDescent="0.5">
      <c r="A24" s="12" t="s">
        <v>2231</v>
      </c>
    </row>
    <row r="26" spans="1:1" ht="17.649999999999999" x14ac:dyDescent="0.5">
      <c r="A26" s="11" t="s">
        <v>2184</v>
      </c>
    </row>
    <row r="28" spans="1:1" x14ac:dyDescent="0.5">
      <c r="A28" s="13" t="s">
        <v>2185</v>
      </c>
    </row>
    <row r="29" spans="1:1" x14ac:dyDescent="0.5">
      <c r="A29" s="12"/>
    </row>
    <row r="30" spans="1:1" x14ac:dyDescent="0.5">
      <c r="A30" s="12" t="s">
        <v>2186</v>
      </c>
    </row>
    <row r="31" spans="1:1" x14ac:dyDescent="0.5">
      <c r="A31" s="12" t="s">
        <v>2187</v>
      </c>
    </row>
    <row r="32" spans="1:1" x14ac:dyDescent="0.5">
      <c r="A32" s="12" t="s">
        <v>2188</v>
      </c>
    </row>
    <row r="33" spans="1:1" x14ac:dyDescent="0.5">
      <c r="A33" s="12" t="s">
        <v>2189</v>
      </c>
    </row>
    <row r="35" spans="1:1" x14ac:dyDescent="0.5">
      <c r="A35" s="13" t="s">
        <v>2190</v>
      </c>
    </row>
    <row r="36" spans="1:1" x14ac:dyDescent="0.5">
      <c r="A36" s="12"/>
    </row>
    <row r="37" spans="1:1" x14ac:dyDescent="0.5">
      <c r="A37" s="12" t="s">
        <v>2191</v>
      </c>
    </row>
    <row r="38" spans="1:1" x14ac:dyDescent="0.5">
      <c r="A38" s="12" t="s">
        <v>2192</v>
      </c>
    </row>
    <row r="39" spans="1:1" x14ac:dyDescent="0.5">
      <c r="A39" s="12" t="s">
        <v>2193</v>
      </c>
    </row>
    <row r="40" spans="1:1" x14ac:dyDescent="0.5">
      <c r="A40" s="12" t="s">
        <v>2194</v>
      </c>
    </row>
    <row r="42" spans="1:1" ht="17.649999999999999" x14ac:dyDescent="0.5">
      <c r="A42" s="11" t="s">
        <v>2195</v>
      </c>
    </row>
    <row r="44" spans="1:1" x14ac:dyDescent="0.5">
      <c r="A44" s="13" t="s">
        <v>2185</v>
      </c>
    </row>
    <row r="45" spans="1:1" x14ac:dyDescent="0.5">
      <c r="A45" s="12"/>
    </row>
    <row r="46" spans="1:1" x14ac:dyDescent="0.5">
      <c r="A46" s="12" t="s">
        <v>2196</v>
      </c>
    </row>
    <row r="47" spans="1:1" x14ac:dyDescent="0.5">
      <c r="A47" s="12" t="s">
        <v>2197</v>
      </c>
    </row>
    <row r="48" spans="1:1" x14ac:dyDescent="0.5">
      <c r="A48" s="12" t="s">
        <v>2198</v>
      </c>
    </row>
    <row r="49" spans="1:1" x14ac:dyDescent="0.5">
      <c r="A49" s="12" t="s">
        <v>2199</v>
      </c>
    </row>
    <row r="50" spans="1:1" x14ac:dyDescent="0.5">
      <c r="A50" s="12" t="s">
        <v>2200</v>
      </c>
    </row>
    <row r="52" spans="1:1" x14ac:dyDescent="0.5">
      <c r="A52" s="13" t="s">
        <v>2190</v>
      </c>
    </row>
    <row r="53" spans="1:1" x14ac:dyDescent="0.5">
      <c r="A53" s="12"/>
    </row>
    <row r="54" spans="1:1" x14ac:dyDescent="0.5">
      <c r="A54" s="14" t="s">
        <v>2201</v>
      </c>
    </row>
    <row r="55" spans="1:1" x14ac:dyDescent="0.5">
      <c r="A55" s="14" t="s">
        <v>2202</v>
      </c>
    </row>
    <row r="56" spans="1:1" x14ac:dyDescent="0.5">
      <c r="A56" s="14" t="s">
        <v>2203</v>
      </c>
    </row>
    <row r="57" spans="1:1" x14ac:dyDescent="0.5">
      <c r="A57" s="14" t="s">
        <v>2204</v>
      </c>
    </row>
    <row r="58" spans="1:1" x14ac:dyDescent="0.5">
      <c r="A58" s="14" t="s">
        <v>2205</v>
      </c>
    </row>
    <row r="60" spans="1:1" x14ac:dyDescent="0.5">
      <c r="A60" s="13" t="s">
        <v>2206</v>
      </c>
    </row>
    <row r="61" spans="1:1" x14ac:dyDescent="0.5">
      <c r="A61" s="12"/>
    </row>
    <row r="62" spans="1:1" x14ac:dyDescent="0.5">
      <c r="A62" s="12" t="s">
        <v>2207</v>
      </c>
    </row>
    <row r="63" spans="1:1" x14ac:dyDescent="0.5">
      <c r="A63" s="12" t="s">
        <v>2208</v>
      </c>
    </row>
    <row r="64" spans="1:1" x14ac:dyDescent="0.5">
      <c r="A64" s="12" t="s">
        <v>2209</v>
      </c>
    </row>
    <row r="65" spans="1:1" x14ac:dyDescent="0.5">
      <c r="A65" s="12" t="s">
        <v>2210</v>
      </c>
    </row>
    <row r="67" spans="1:1" ht="17.649999999999999" x14ac:dyDescent="0.5">
      <c r="A67" s="11" t="s">
        <v>2211</v>
      </c>
    </row>
    <row r="68" spans="1:1" x14ac:dyDescent="0.5">
      <c r="A68" s="12"/>
    </row>
    <row r="69" spans="1:1" x14ac:dyDescent="0.5">
      <c r="A69" s="12" t="s">
        <v>2212</v>
      </c>
    </row>
    <row r="70" spans="1:1" x14ac:dyDescent="0.5">
      <c r="A70" s="12" t="s">
        <v>2213</v>
      </c>
    </row>
    <row r="71" spans="1:1" x14ac:dyDescent="0.5">
      <c r="A71" s="12" t="s">
        <v>2214</v>
      </c>
    </row>
    <row r="72" spans="1:1" x14ac:dyDescent="0.5">
      <c r="A72" s="12" t="s">
        <v>2215</v>
      </c>
    </row>
    <row r="73" spans="1:1" x14ac:dyDescent="0.5">
      <c r="A73" s="12" t="s">
        <v>2216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7614-81A9-4189-8E36-C513FFB0E769}">
  <dimension ref="A1:J100"/>
  <sheetViews>
    <sheetView workbookViewId="0"/>
  </sheetViews>
  <sheetFormatPr defaultRowHeight="15.75" x14ac:dyDescent="0.5"/>
  <sheetData>
    <row r="1" spans="1:10" x14ac:dyDescent="0.5">
      <c r="A1" s="16" t="s">
        <v>1439</v>
      </c>
      <c r="B1" s="16" t="s">
        <v>2282</v>
      </c>
      <c r="C1" s="16" t="s">
        <v>2283</v>
      </c>
      <c r="D1" s="16" t="s">
        <v>2284</v>
      </c>
      <c r="E1" s="16" t="s">
        <v>2285</v>
      </c>
      <c r="F1" s="16" t="s">
        <v>2286</v>
      </c>
      <c r="G1" s="16" t="s">
        <v>2287</v>
      </c>
      <c r="H1" s="16" t="s">
        <v>2289</v>
      </c>
      <c r="I1" s="16" t="s">
        <v>2290</v>
      </c>
      <c r="J1" s="16" t="s">
        <v>2288</v>
      </c>
    </row>
    <row r="2" spans="1:10" x14ac:dyDescent="0.5">
      <c r="A2" s="15" t="s">
        <v>614</v>
      </c>
      <c r="B2" s="15">
        <v>10.3</v>
      </c>
      <c r="C2" s="15">
        <v>13.7</v>
      </c>
      <c r="D2" s="15">
        <v>11.5</v>
      </c>
      <c r="E2" s="15">
        <v>14.5</v>
      </c>
      <c r="F2" s="15">
        <v>45</v>
      </c>
      <c r="G2" s="15">
        <v>55</v>
      </c>
      <c r="H2" s="15">
        <v>18</v>
      </c>
      <c r="I2" s="15">
        <v>26</v>
      </c>
      <c r="J2" s="15" t="s">
        <v>2295</v>
      </c>
    </row>
    <row r="3" spans="1:10" x14ac:dyDescent="0.5">
      <c r="A3" s="15" t="s">
        <v>205</v>
      </c>
      <c r="B3" s="15">
        <v>17.100000000000001</v>
      </c>
      <c r="C3" s="15">
        <v>24</v>
      </c>
      <c r="D3" s="15">
        <v>9.1</v>
      </c>
      <c r="E3" s="15">
        <v>12.2</v>
      </c>
      <c r="F3" s="15">
        <v>48</v>
      </c>
      <c r="G3" s="15">
        <v>58</v>
      </c>
      <c r="H3" s="15">
        <v>20</v>
      </c>
      <c r="I3" s="15">
        <v>28</v>
      </c>
      <c r="J3" s="15" t="s">
        <v>2296</v>
      </c>
    </row>
    <row r="4" spans="1:10" x14ac:dyDescent="0.5">
      <c r="A4" s="15" t="s">
        <v>308</v>
      </c>
      <c r="B4" s="15">
        <v>29.1</v>
      </c>
      <c r="C4" s="15">
        <v>41.1</v>
      </c>
      <c r="D4" s="15">
        <v>13.7</v>
      </c>
      <c r="E4" s="15">
        <v>16.7</v>
      </c>
      <c r="F4" s="15">
        <v>48</v>
      </c>
      <c r="G4" s="15">
        <v>58</v>
      </c>
      <c r="H4" s="15">
        <v>24</v>
      </c>
      <c r="I4" s="15">
        <v>32</v>
      </c>
      <c r="J4" s="15" t="s">
        <v>2297</v>
      </c>
    </row>
    <row r="5" spans="1:10" x14ac:dyDescent="0.5">
      <c r="A5" s="15" t="s">
        <v>362</v>
      </c>
      <c r="B5" s="15">
        <v>34.200000000000003</v>
      </c>
      <c r="C5" s="15">
        <v>47.9</v>
      </c>
      <c r="D5" s="15">
        <v>18.3</v>
      </c>
      <c r="E5" s="15">
        <v>22.9</v>
      </c>
      <c r="F5" s="15">
        <v>48</v>
      </c>
      <c r="G5" s="15">
        <v>58</v>
      </c>
      <c r="H5" s="15">
        <v>28</v>
      </c>
      <c r="I5" s="15">
        <v>36</v>
      </c>
      <c r="J5" s="15" t="s">
        <v>2298</v>
      </c>
    </row>
    <row r="6" spans="1:10" x14ac:dyDescent="0.5">
      <c r="A6" s="15" t="s">
        <v>343</v>
      </c>
      <c r="B6" s="15">
        <v>30.9</v>
      </c>
      <c r="C6" s="15">
        <v>41.1</v>
      </c>
      <c r="D6" s="15">
        <v>8.6</v>
      </c>
      <c r="E6" s="15">
        <v>11</v>
      </c>
      <c r="F6" s="15">
        <v>45</v>
      </c>
      <c r="G6" s="15">
        <v>55</v>
      </c>
      <c r="H6" s="15">
        <v>15</v>
      </c>
      <c r="I6" s="15">
        <v>22</v>
      </c>
      <c r="J6" s="15" t="s">
        <v>2299</v>
      </c>
    </row>
    <row r="7" spans="1:10" x14ac:dyDescent="0.5">
      <c r="A7" s="15" t="s">
        <v>610</v>
      </c>
      <c r="B7" s="15">
        <v>27.4</v>
      </c>
      <c r="C7" s="15">
        <v>39.4</v>
      </c>
      <c r="D7" s="15">
        <v>13.7</v>
      </c>
      <c r="E7" s="15">
        <v>16.7</v>
      </c>
      <c r="F7" s="15">
        <v>48</v>
      </c>
      <c r="G7" s="15">
        <v>58</v>
      </c>
      <c r="H7" s="15">
        <v>26</v>
      </c>
      <c r="I7" s="15">
        <v>34</v>
      </c>
      <c r="J7" s="15" t="s">
        <v>2300</v>
      </c>
    </row>
    <row r="8" spans="1:10" x14ac:dyDescent="0.5">
      <c r="A8" s="15" t="s">
        <v>293</v>
      </c>
      <c r="B8" s="15">
        <v>29.1</v>
      </c>
      <c r="C8" s="15">
        <v>41.1</v>
      </c>
      <c r="D8" s="15">
        <v>13.7</v>
      </c>
      <c r="E8" s="15">
        <v>16.7</v>
      </c>
      <c r="F8" s="15">
        <v>48</v>
      </c>
      <c r="G8" s="15">
        <v>58</v>
      </c>
      <c r="H8" s="15">
        <v>24</v>
      </c>
      <c r="I8" s="15">
        <v>32</v>
      </c>
      <c r="J8" s="15" t="s">
        <v>2301</v>
      </c>
    </row>
    <row r="9" spans="1:10" x14ac:dyDescent="0.5">
      <c r="A9" s="15" t="s">
        <v>358</v>
      </c>
      <c r="B9" s="15">
        <v>29.1</v>
      </c>
      <c r="C9" s="15">
        <v>41.1</v>
      </c>
      <c r="D9" s="15">
        <v>15.2</v>
      </c>
      <c r="E9" s="15">
        <v>18.3</v>
      </c>
      <c r="F9" s="15">
        <v>50</v>
      </c>
      <c r="G9" s="15">
        <v>60</v>
      </c>
      <c r="H9" s="15">
        <v>25</v>
      </c>
      <c r="I9" s="15">
        <v>33</v>
      </c>
      <c r="J9" s="15" t="s">
        <v>2302</v>
      </c>
    </row>
    <row r="10" spans="1:10" x14ac:dyDescent="0.5">
      <c r="A10" s="15" t="s">
        <v>192</v>
      </c>
      <c r="B10" s="15">
        <v>8.6</v>
      </c>
      <c r="C10" s="15">
        <v>11.4</v>
      </c>
      <c r="D10" s="15">
        <v>12.2</v>
      </c>
      <c r="E10" s="15">
        <v>15.2</v>
      </c>
      <c r="F10" s="15">
        <v>45</v>
      </c>
      <c r="G10" s="15">
        <v>55</v>
      </c>
      <c r="H10" s="15">
        <v>16</v>
      </c>
      <c r="I10" s="15">
        <v>24</v>
      </c>
      <c r="J10" s="15" t="s">
        <v>2303</v>
      </c>
    </row>
    <row r="11" spans="1:10" x14ac:dyDescent="0.5">
      <c r="A11" s="15" t="s">
        <v>496</v>
      </c>
      <c r="B11" s="15">
        <v>34.200000000000003</v>
      </c>
      <c r="C11" s="15">
        <v>47.9</v>
      </c>
      <c r="D11" s="15">
        <v>18.3</v>
      </c>
      <c r="E11" s="15">
        <v>22.9</v>
      </c>
      <c r="F11" s="15">
        <v>48</v>
      </c>
      <c r="G11" s="15">
        <v>58</v>
      </c>
      <c r="H11" s="15">
        <v>28</v>
      </c>
      <c r="I11" s="15">
        <v>36</v>
      </c>
      <c r="J11" s="15" t="s">
        <v>2304</v>
      </c>
    </row>
    <row r="12" spans="1:10" x14ac:dyDescent="0.5">
      <c r="A12" s="15" t="s">
        <v>505</v>
      </c>
      <c r="B12" s="15">
        <v>5.0999999999999996</v>
      </c>
      <c r="C12" s="15">
        <v>10.3</v>
      </c>
      <c r="D12" s="15">
        <v>6.1</v>
      </c>
      <c r="E12" s="15">
        <v>9.1</v>
      </c>
      <c r="F12" s="15">
        <v>40</v>
      </c>
      <c r="G12" s="15">
        <v>50</v>
      </c>
      <c r="H12" s="15">
        <v>12</v>
      </c>
      <c r="I12" s="15">
        <v>18</v>
      </c>
      <c r="J12" s="15" t="s">
        <v>2305</v>
      </c>
    </row>
    <row r="13" spans="1:10" x14ac:dyDescent="0.5">
      <c r="A13" s="15" t="s">
        <v>173</v>
      </c>
      <c r="B13" s="15">
        <v>13.7</v>
      </c>
      <c r="C13" s="15">
        <v>20.6</v>
      </c>
      <c r="D13" s="15">
        <v>12.2</v>
      </c>
      <c r="E13" s="15">
        <v>16.7</v>
      </c>
      <c r="F13" s="15">
        <v>45</v>
      </c>
      <c r="G13" s="15">
        <v>55</v>
      </c>
      <c r="H13" s="15">
        <v>14</v>
      </c>
      <c r="I13" s="15">
        <v>22</v>
      </c>
      <c r="J13" s="15" t="s">
        <v>2374</v>
      </c>
    </row>
    <row r="14" spans="1:10" x14ac:dyDescent="0.5">
      <c r="A14" s="15" t="s">
        <v>138</v>
      </c>
      <c r="B14" s="15">
        <v>10.3</v>
      </c>
      <c r="C14" s="15">
        <v>17.100000000000001</v>
      </c>
      <c r="D14" s="15">
        <v>7.6</v>
      </c>
      <c r="E14" s="15">
        <v>10.7</v>
      </c>
      <c r="F14" s="15">
        <v>48</v>
      </c>
      <c r="G14" s="15">
        <v>58</v>
      </c>
      <c r="H14" s="15">
        <v>20</v>
      </c>
      <c r="I14" s="15">
        <v>28</v>
      </c>
      <c r="J14" s="15" t="s">
        <v>2384</v>
      </c>
    </row>
    <row r="15" spans="1:10" x14ac:dyDescent="0.5">
      <c r="A15" s="15" t="s">
        <v>560</v>
      </c>
      <c r="B15" s="15">
        <v>29.1</v>
      </c>
      <c r="C15" s="15">
        <v>41.1</v>
      </c>
      <c r="D15" s="15">
        <v>13.7</v>
      </c>
      <c r="E15" s="15">
        <v>16.7</v>
      </c>
      <c r="F15" s="15">
        <v>50</v>
      </c>
      <c r="G15" s="15">
        <v>60</v>
      </c>
      <c r="H15" s="15">
        <v>24</v>
      </c>
      <c r="I15" s="15">
        <v>32</v>
      </c>
      <c r="J15" s="15" t="s">
        <v>2306</v>
      </c>
    </row>
    <row r="16" spans="1:10" x14ac:dyDescent="0.5">
      <c r="A16" s="15" t="s">
        <v>419</v>
      </c>
      <c r="B16" s="15">
        <v>10.3</v>
      </c>
      <c r="C16" s="15">
        <v>14.6</v>
      </c>
      <c r="D16" s="15">
        <v>12.2</v>
      </c>
      <c r="E16" s="15">
        <v>15.2</v>
      </c>
      <c r="F16" s="15">
        <v>45</v>
      </c>
      <c r="G16" s="15">
        <v>55</v>
      </c>
      <c r="H16" s="15">
        <v>16</v>
      </c>
      <c r="I16" s="15">
        <v>24</v>
      </c>
      <c r="J16" s="15" t="s">
        <v>2307</v>
      </c>
    </row>
    <row r="17" spans="1:10" x14ac:dyDescent="0.5">
      <c r="A17" s="15" t="s">
        <v>346</v>
      </c>
      <c r="B17" s="15">
        <v>24</v>
      </c>
      <c r="C17" s="15">
        <v>34.299999999999997</v>
      </c>
      <c r="D17" s="15">
        <v>8.6</v>
      </c>
      <c r="E17" s="15">
        <v>11</v>
      </c>
      <c r="F17" s="15">
        <v>42</v>
      </c>
      <c r="G17" s="15">
        <v>52</v>
      </c>
      <c r="H17" s="15">
        <v>12</v>
      </c>
      <c r="I17" s="15">
        <v>20</v>
      </c>
      <c r="J17" s="15" t="s">
        <v>2385</v>
      </c>
    </row>
    <row r="18" spans="1:10" x14ac:dyDescent="0.5">
      <c r="A18" s="15" t="s">
        <v>443</v>
      </c>
      <c r="B18" s="15">
        <v>29.1</v>
      </c>
      <c r="C18" s="15">
        <v>41.1</v>
      </c>
      <c r="D18" s="15">
        <v>13.7</v>
      </c>
      <c r="E18" s="15">
        <v>16.7</v>
      </c>
      <c r="F18" s="15">
        <v>48</v>
      </c>
      <c r="G18" s="15">
        <v>58</v>
      </c>
      <c r="H18" s="15">
        <v>26</v>
      </c>
      <c r="I18" s="15">
        <v>34</v>
      </c>
      <c r="J18" s="15" t="s">
        <v>2308</v>
      </c>
    </row>
    <row r="19" spans="1:10" x14ac:dyDescent="0.5">
      <c r="A19" s="15" t="s">
        <v>445</v>
      </c>
      <c r="B19" s="15">
        <v>6.9</v>
      </c>
      <c r="C19" s="15">
        <v>13.7</v>
      </c>
      <c r="D19" s="15">
        <v>99</v>
      </c>
      <c r="E19" s="15">
        <v>99</v>
      </c>
      <c r="F19" s="15">
        <v>35</v>
      </c>
      <c r="G19" s="15">
        <v>45</v>
      </c>
      <c r="H19" s="15">
        <v>99</v>
      </c>
      <c r="I19" s="15">
        <v>99</v>
      </c>
      <c r="J19" s="15" t="s">
        <v>2309</v>
      </c>
    </row>
    <row r="20" spans="1:10" x14ac:dyDescent="0.5">
      <c r="A20" s="15" t="s">
        <v>596</v>
      </c>
      <c r="B20" s="15">
        <v>30.9</v>
      </c>
      <c r="C20" s="15">
        <v>42.9</v>
      </c>
      <c r="D20" s="15">
        <v>15.2</v>
      </c>
      <c r="E20" s="15">
        <v>18.3</v>
      </c>
      <c r="F20" s="15">
        <v>48</v>
      </c>
      <c r="G20" s="15">
        <v>58</v>
      </c>
      <c r="H20" s="15">
        <v>20</v>
      </c>
      <c r="I20" s="15">
        <v>28</v>
      </c>
      <c r="J20" s="15" t="s">
        <v>2310</v>
      </c>
    </row>
    <row r="21" spans="1:10" x14ac:dyDescent="0.5">
      <c r="A21" s="15" t="s">
        <v>574</v>
      </c>
      <c r="B21" s="15">
        <v>29.1</v>
      </c>
      <c r="C21" s="15">
        <v>41.1</v>
      </c>
      <c r="D21" s="15">
        <v>15.2</v>
      </c>
      <c r="E21" s="15">
        <v>18.3</v>
      </c>
      <c r="F21" s="15">
        <v>50</v>
      </c>
      <c r="G21" s="15">
        <v>60</v>
      </c>
      <c r="H21" s="15">
        <v>28</v>
      </c>
      <c r="I21" s="15">
        <v>36</v>
      </c>
      <c r="J21" s="15" t="s">
        <v>2311</v>
      </c>
    </row>
    <row r="22" spans="1:10" x14ac:dyDescent="0.5">
      <c r="A22" s="15" t="s">
        <v>488</v>
      </c>
      <c r="B22" s="15">
        <v>27.4</v>
      </c>
      <c r="C22" s="15">
        <v>39.4</v>
      </c>
      <c r="D22" s="15">
        <v>10.7</v>
      </c>
      <c r="E22" s="15">
        <v>13.7</v>
      </c>
      <c r="F22" s="15">
        <v>48</v>
      </c>
      <c r="G22" s="15">
        <v>58</v>
      </c>
      <c r="H22" s="15">
        <v>22</v>
      </c>
      <c r="I22" s="15">
        <v>30</v>
      </c>
      <c r="J22" s="15" t="s">
        <v>2312</v>
      </c>
    </row>
    <row r="23" spans="1:10" x14ac:dyDescent="0.5">
      <c r="A23" s="15" t="s">
        <v>154</v>
      </c>
      <c r="B23" s="15">
        <v>29.1</v>
      </c>
      <c r="C23" s="15">
        <v>41.1</v>
      </c>
      <c r="D23" s="15">
        <v>13.7</v>
      </c>
      <c r="E23" s="15">
        <v>16.7</v>
      </c>
      <c r="F23" s="15">
        <v>48</v>
      </c>
      <c r="G23" s="15">
        <v>58</v>
      </c>
      <c r="H23" s="15">
        <v>26</v>
      </c>
      <c r="I23" s="15">
        <v>34</v>
      </c>
      <c r="J23" s="15" t="s">
        <v>2313</v>
      </c>
    </row>
    <row r="24" spans="1:10" x14ac:dyDescent="0.5">
      <c r="A24" s="15" t="s">
        <v>572</v>
      </c>
      <c r="B24" s="15">
        <v>29.1</v>
      </c>
      <c r="C24" s="15">
        <v>41.1</v>
      </c>
      <c r="D24" s="15">
        <v>15.2</v>
      </c>
      <c r="E24" s="15">
        <v>18.3</v>
      </c>
      <c r="F24" s="15">
        <v>50</v>
      </c>
      <c r="G24" s="15">
        <v>60</v>
      </c>
      <c r="H24" s="15">
        <v>18</v>
      </c>
      <c r="I24" s="15">
        <v>26</v>
      </c>
      <c r="J24" s="15" t="s">
        <v>2314</v>
      </c>
    </row>
    <row r="25" spans="1:10" x14ac:dyDescent="0.5">
      <c r="A25" s="15" t="s">
        <v>352</v>
      </c>
      <c r="B25" s="15">
        <v>27.4</v>
      </c>
      <c r="C25" s="15">
        <v>39.4</v>
      </c>
      <c r="D25" s="15">
        <v>15.2</v>
      </c>
      <c r="E25" s="15">
        <v>18.3</v>
      </c>
      <c r="F25" s="15">
        <v>48</v>
      </c>
      <c r="G25" s="15">
        <v>58</v>
      </c>
      <c r="H25" s="15">
        <v>26</v>
      </c>
      <c r="I25" s="15">
        <v>34</v>
      </c>
      <c r="J25" s="15" t="s">
        <v>2315</v>
      </c>
    </row>
    <row r="26" spans="1:10" x14ac:dyDescent="0.5">
      <c r="A26" s="15" t="s">
        <v>130</v>
      </c>
      <c r="B26" s="15">
        <v>17.100000000000001</v>
      </c>
      <c r="C26" s="15">
        <v>25.7</v>
      </c>
      <c r="D26" s="15">
        <v>12.2</v>
      </c>
      <c r="E26" s="15">
        <v>16.7</v>
      </c>
      <c r="F26" s="15">
        <v>45</v>
      </c>
      <c r="G26" s="15">
        <v>55</v>
      </c>
      <c r="H26" s="15">
        <v>16</v>
      </c>
      <c r="I26" s="15">
        <v>24</v>
      </c>
      <c r="J26" s="15" t="s">
        <v>2316</v>
      </c>
    </row>
    <row r="27" spans="1:10" x14ac:dyDescent="0.5">
      <c r="A27" s="15" t="s">
        <v>140</v>
      </c>
      <c r="B27" s="15">
        <v>29.1</v>
      </c>
      <c r="C27" s="15">
        <v>41.1</v>
      </c>
      <c r="D27" s="15">
        <v>13.7</v>
      </c>
      <c r="E27" s="15">
        <v>16.7</v>
      </c>
      <c r="F27" s="15">
        <v>48</v>
      </c>
      <c r="G27" s="15">
        <v>58</v>
      </c>
      <c r="H27" s="15">
        <v>24</v>
      </c>
      <c r="I27" s="15">
        <v>32</v>
      </c>
      <c r="J27" s="15" t="s">
        <v>2317</v>
      </c>
    </row>
    <row r="28" spans="1:10" x14ac:dyDescent="0.5">
      <c r="A28" s="15" t="s">
        <v>455</v>
      </c>
      <c r="B28" s="15">
        <v>8.6</v>
      </c>
      <c r="C28" s="15">
        <v>13.7</v>
      </c>
      <c r="D28" s="15">
        <v>10.7</v>
      </c>
      <c r="E28" s="15">
        <v>15.2</v>
      </c>
      <c r="F28" s="15">
        <v>38</v>
      </c>
      <c r="G28" s="15">
        <v>48</v>
      </c>
      <c r="H28" s="15">
        <v>14</v>
      </c>
      <c r="I28" s="15">
        <v>22</v>
      </c>
      <c r="J28" s="15" t="s">
        <v>2386</v>
      </c>
    </row>
    <row r="29" spans="1:10" x14ac:dyDescent="0.5">
      <c r="A29" s="15" t="s">
        <v>356</v>
      </c>
      <c r="B29" s="15">
        <v>24</v>
      </c>
      <c r="C29" s="15">
        <v>34.299999999999997</v>
      </c>
      <c r="D29" s="15">
        <v>15.2</v>
      </c>
      <c r="E29" s="15">
        <v>19.8</v>
      </c>
      <c r="F29" s="15">
        <v>48</v>
      </c>
      <c r="G29" s="15">
        <v>58</v>
      </c>
      <c r="H29" s="15">
        <v>30</v>
      </c>
      <c r="I29" s="15">
        <v>38</v>
      </c>
      <c r="J29" s="15" t="s">
        <v>2387</v>
      </c>
    </row>
    <row r="30" spans="1:10" x14ac:dyDescent="0.5">
      <c r="A30" s="15" t="s">
        <v>608</v>
      </c>
      <c r="B30" s="15">
        <v>6.9</v>
      </c>
      <c r="C30" s="15">
        <v>13.7</v>
      </c>
      <c r="D30" s="15">
        <v>15.2</v>
      </c>
      <c r="E30" s="15">
        <v>19.8</v>
      </c>
      <c r="F30" s="15">
        <v>35</v>
      </c>
      <c r="G30" s="15">
        <v>45</v>
      </c>
      <c r="H30" s="15">
        <v>99</v>
      </c>
      <c r="I30" s="15">
        <v>99</v>
      </c>
      <c r="J30" s="15" t="s">
        <v>2318</v>
      </c>
    </row>
    <row r="31" spans="1:10" x14ac:dyDescent="0.5">
      <c r="A31" s="15" t="s">
        <v>248</v>
      </c>
      <c r="B31" s="15">
        <v>10.3</v>
      </c>
      <c r="C31" s="15">
        <v>17.100000000000001</v>
      </c>
      <c r="D31" s="15">
        <v>12.2</v>
      </c>
      <c r="E31" s="15">
        <v>16.7</v>
      </c>
      <c r="F31" s="15">
        <v>40</v>
      </c>
      <c r="G31" s="15">
        <v>50</v>
      </c>
      <c r="H31" s="15">
        <v>14</v>
      </c>
      <c r="I31" s="15">
        <v>22</v>
      </c>
      <c r="J31" s="15" t="s">
        <v>2319</v>
      </c>
    </row>
    <row r="32" spans="1:10" x14ac:dyDescent="0.5">
      <c r="A32" s="15" t="s">
        <v>236</v>
      </c>
      <c r="B32" s="15">
        <v>29.1</v>
      </c>
      <c r="C32" s="15">
        <v>41.1</v>
      </c>
      <c r="D32" s="15">
        <v>15.2</v>
      </c>
      <c r="E32" s="15">
        <v>18.3</v>
      </c>
      <c r="F32" s="15">
        <v>50</v>
      </c>
      <c r="G32" s="15">
        <v>60</v>
      </c>
      <c r="H32" s="15">
        <v>24</v>
      </c>
      <c r="I32" s="15">
        <v>32</v>
      </c>
      <c r="J32" s="15" t="s">
        <v>2388</v>
      </c>
    </row>
    <row r="33" spans="1:10" x14ac:dyDescent="0.5">
      <c r="A33" s="15" t="s">
        <v>542</v>
      </c>
      <c r="B33" s="15">
        <v>30.9</v>
      </c>
      <c r="C33" s="15">
        <v>44.6</v>
      </c>
      <c r="D33" s="15">
        <v>18.3</v>
      </c>
      <c r="E33" s="15">
        <v>22.9</v>
      </c>
      <c r="F33" s="15">
        <v>48</v>
      </c>
      <c r="G33" s="15">
        <v>58</v>
      </c>
      <c r="H33" s="15">
        <v>30</v>
      </c>
      <c r="I33" s="15">
        <v>38</v>
      </c>
      <c r="J33" s="15" t="s">
        <v>2389</v>
      </c>
    </row>
    <row r="34" spans="1:10" x14ac:dyDescent="0.5">
      <c r="A34" s="15" t="s">
        <v>401</v>
      </c>
      <c r="B34" s="15">
        <v>17.100000000000001</v>
      </c>
      <c r="C34" s="15">
        <v>27.4</v>
      </c>
      <c r="D34" s="15">
        <v>11</v>
      </c>
      <c r="E34" s="15">
        <v>15.2</v>
      </c>
      <c r="F34" s="15">
        <v>42</v>
      </c>
      <c r="G34" s="15">
        <v>52</v>
      </c>
      <c r="H34" s="15">
        <v>12</v>
      </c>
      <c r="I34" s="15">
        <v>20</v>
      </c>
      <c r="J34" s="15" t="s">
        <v>2390</v>
      </c>
    </row>
    <row r="35" spans="1:10" x14ac:dyDescent="0.5">
      <c r="A35" s="15" t="s">
        <v>485</v>
      </c>
      <c r="B35" s="15">
        <v>30.9</v>
      </c>
      <c r="C35" s="15">
        <v>44.6</v>
      </c>
      <c r="D35" s="15">
        <v>15.2</v>
      </c>
      <c r="E35" s="15">
        <v>19.8</v>
      </c>
      <c r="F35" s="15">
        <v>45</v>
      </c>
      <c r="G35" s="15">
        <v>55</v>
      </c>
      <c r="H35" s="15">
        <v>14</v>
      </c>
      <c r="I35" s="15">
        <v>22</v>
      </c>
      <c r="J35" s="15" t="s">
        <v>2391</v>
      </c>
    </row>
    <row r="36" spans="1:10" x14ac:dyDescent="0.5">
      <c r="A36" s="15" t="s">
        <v>553</v>
      </c>
      <c r="B36" s="15">
        <v>20.6</v>
      </c>
      <c r="C36" s="15">
        <v>30.9</v>
      </c>
      <c r="D36" s="15">
        <v>7.6</v>
      </c>
      <c r="E36" s="15">
        <v>10.7</v>
      </c>
      <c r="F36" s="15">
        <v>45</v>
      </c>
      <c r="G36" s="15">
        <v>55</v>
      </c>
      <c r="H36" s="15">
        <v>18</v>
      </c>
      <c r="I36" s="15">
        <v>26</v>
      </c>
      <c r="J36" s="15" t="s">
        <v>2320</v>
      </c>
    </row>
    <row r="37" spans="1:10" x14ac:dyDescent="0.5">
      <c r="A37" s="15" t="s">
        <v>211</v>
      </c>
      <c r="B37" s="15">
        <v>13.7</v>
      </c>
      <c r="C37" s="15">
        <v>20.6</v>
      </c>
      <c r="D37" s="15">
        <v>10.7</v>
      </c>
      <c r="E37" s="15">
        <v>13.7</v>
      </c>
      <c r="F37" s="15">
        <v>42</v>
      </c>
      <c r="G37" s="15">
        <v>52</v>
      </c>
      <c r="H37" s="15">
        <v>14</v>
      </c>
      <c r="I37" s="15">
        <v>22</v>
      </c>
      <c r="J37" s="15" t="s">
        <v>2321</v>
      </c>
    </row>
    <row r="38" spans="1:10" x14ac:dyDescent="0.5">
      <c r="A38" s="15" t="s">
        <v>472</v>
      </c>
      <c r="B38" s="15">
        <v>27.4</v>
      </c>
      <c r="C38" s="15">
        <v>37.700000000000003</v>
      </c>
      <c r="D38" s="15">
        <v>10.7</v>
      </c>
      <c r="E38" s="15">
        <v>14.5</v>
      </c>
      <c r="F38" s="15">
        <v>45</v>
      </c>
      <c r="G38" s="15">
        <v>55</v>
      </c>
      <c r="H38" s="15">
        <v>12</v>
      </c>
      <c r="I38" s="15">
        <v>20</v>
      </c>
      <c r="J38" s="15" t="s">
        <v>2392</v>
      </c>
    </row>
    <row r="39" spans="1:10" x14ac:dyDescent="0.5">
      <c r="A39" s="15" t="s">
        <v>148</v>
      </c>
      <c r="B39" s="15">
        <v>27.4</v>
      </c>
      <c r="C39" s="15">
        <v>37.700000000000003</v>
      </c>
      <c r="D39" s="15">
        <v>15.2</v>
      </c>
      <c r="E39" s="15">
        <v>19.8</v>
      </c>
      <c r="F39" s="15">
        <v>45</v>
      </c>
      <c r="G39" s="15">
        <v>55</v>
      </c>
      <c r="H39" s="15">
        <v>12</v>
      </c>
      <c r="I39" s="15">
        <v>20</v>
      </c>
      <c r="J39" s="15" t="s">
        <v>2322</v>
      </c>
    </row>
    <row r="40" spans="1:10" x14ac:dyDescent="0.5">
      <c r="A40" s="15" t="s">
        <v>627</v>
      </c>
      <c r="B40" s="15">
        <v>20.6</v>
      </c>
      <c r="C40" s="15">
        <v>30.9</v>
      </c>
      <c r="D40" s="15">
        <v>11</v>
      </c>
      <c r="E40" s="15">
        <v>15.2</v>
      </c>
      <c r="F40" s="15">
        <v>42</v>
      </c>
      <c r="G40" s="15">
        <v>52</v>
      </c>
      <c r="H40" s="15">
        <v>14</v>
      </c>
      <c r="I40" s="15">
        <v>22</v>
      </c>
      <c r="J40" s="15" t="s">
        <v>2393</v>
      </c>
    </row>
    <row r="41" spans="1:10" x14ac:dyDescent="0.5">
      <c r="A41" s="15" t="s">
        <v>203</v>
      </c>
      <c r="B41" s="15">
        <v>27.4</v>
      </c>
      <c r="C41" s="15">
        <v>37.700000000000003</v>
      </c>
      <c r="D41" s="15">
        <v>15.2</v>
      </c>
      <c r="E41" s="15">
        <v>19.8</v>
      </c>
      <c r="F41" s="15">
        <v>48</v>
      </c>
      <c r="G41" s="15">
        <v>58</v>
      </c>
      <c r="H41" s="15">
        <v>20</v>
      </c>
      <c r="I41" s="15">
        <v>28</v>
      </c>
      <c r="J41" s="15" t="s">
        <v>2323</v>
      </c>
    </row>
    <row r="42" spans="1:10" x14ac:dyDescent="0.5">
      <c r="A42" s="15" t="s">
        <v>271</v>
      </c>
      <c r="B42" s="15">
        <v>29.1</v>
      </c>
      <c r="C42" s="15">
        <v>41.1</v>
      </c>
      <c r="D42" s="15">
        <v>15.2</v>
      </c>
      <c r="E42" s="15">
        <v>18.3</v>
      </c>
      <c r="F42" s="15">
        <v>50</v>
      </c>
      <c r="G42" s="15">
        <v>60</v>
      </c>
      <c r="H42" s="15">
        <v>18</v>
      </c>
      <c r="I42" s="15">
        <v>26</v>
      </c>
      <c r="J42" s="15" t="s">
        <v>2324</v>
      </c>
    </row>
    <row r="43" spans="1:10" x14ac:dyDescent="0.5">
      <c r="A43" s="15" t="s">
        <v>503</v>
      </c>
      <c r="B43" s="15">
        <v>17.100000000000001</v>
      </c>
      <c r="C43" s="15">
        <v>27.4</v>
      </c>
      <c r="D43" s="15">
        <v>10.7</v>
      </c>
      <c r="E43" s="15">
        <v>13.7</v>
      </c>
      <c r="F43" s="15">
        <v>45</v>
      </c>
      <c r="G43" s="15">
        <v>55</v>
      </c>
      <c r="H43" s="15">
        <v>18</v>
      </c>
      <c r="I43" s="15">
        <v>26</v>
      </c>
      <c r="J43" s="15" t="s">
        <v>2394</v>
      </c>
    </row>
    <row r="44" spans="1:10" x14ac:dyDescent="0.5">
      <c r="A44" s="15" t="s">
        <v>230</v>
      </c>
      <c r="B44" s="15">
        <v>27.4</v>
      </c>
      <c r="C44" s="15">
        <v>39.4</v>
      </c>
      <c r="D44" s="15">
        <v>10.7</v>
      </c>
      <c r="E44" s="15">
        <v>13.7</v>
      </c>
      <c r="F44" s="15">
        <v>48</v>
      </c>
      <c r="G44" s="15">
        <v>58</v>
      </c>
      <c r="H44" s="15">
        <v>22</v>
      </c>
      <c r="I44" s="15">
        <v>30</v>
      </c>
      <c r="J44" s="15" t="s">
        <v>2395</v>
      </c>
    </row>
    <row r="45" spans="1:10" x14ac:dyDescent="0.5">
      <c r="A45" s="15" t="s">
        <v>490</v>
      </c>
      <c r="B45" s="15">
        <v>29.1</v>
      </c>
      <c r="C45" s="15">
        <v>41.1</v>
      </c>
      <c r="D45" s="15">
        <v>15.2</v>
      </c>
      <c r="E45" s="15">
        <v>18.3</v>
      </c>
      <c r="F45" s="15">
        <v>50</v>
      </c>
      <c r="G45" s="15">
        <v>60</v>
      </c>
      <c r="H45" s="15">
        <v>24</v>
      </c>
      <c r="I45" s="15">
        <v>32</v>
      </c>
      <c r="J45" s="15" t="s">
        <v>2325</v>
      </c>
    </row>
    <row r="46" spans="1:10" x14ac:dyDescent="0.5">
      <c r="A46" s="15" t="s">
        <v>350</v>
      </c>
      <c r="B46" s="15">
        <v>5.0999999999999996</v>
      </c>
      <c r="C46" s="15">
        <v>10.3</v>
      </c>
      <c r="D46" s="15">
        <v>10.7</v>
      </c>
      <c r="E46" s="15">
        <v>15.2</v>
      </c>
      <c r="F46" s="15">
        <v>35</v>
      </c>
      <c r="G46" s="15">
        <v>45</v>
      </c>
      <c r="H46" s="15">
        <v>99</v>
      </c>
      <c r="I46" s="15">
        <v>99</v>
      </c>
      <c r="J46" s="15" t="s">
        <v>2326</v>
      </c>
    </row>
    <row r="47" spans="1:10" x14ac:dyDescent="0.5">
      <c r="A47" s="15" t="s">
        <v>483</v>
      </c>
      <c r="B47" s="15">
        <v>10.3</v>
      </c>
      <c r="C47" s="15">
        <v>17.100000000000001</v>
      </c>
      <c r="D47" s="15">
        <v>12.2</v>
      </c>
      <c r="E47" s="15">
        <v>16.7</v>
      </c>
      <c r="F47" s="15">
        <v>42</v>
      </c>
      <c r="G47" s="15">
        <v>52</v>
      </c>
      <c r="H47" s="15">
        <v>16</v>
      </c>
      <c r="I47" s="15">
        <v>24</v>
      </c>
      <c r="J47" s="15" t="s">
        <v>2396</v>
      </c>
    </row>
    <row r="48" spans="1:10" x14ac:dyDescent="0.5">
      <c r="A48" s="15" t="s">
        <v>314</v>
      </c>
      <c r="B48" s="15">
        <v>29.1</v>
      </c>
      <c r="C48" s="15">
        <v>41.1</v>
      </c>
      <c r="D48" s="15">
        <v>15.2</v>
      </c>
      <c r="E48" s="15">
        <v>18.3</v>
      </c>
      <c r="F48" s="15">
        <v>50</v>
      </c>
      <c r="G48" s="15">
        <v>60</v>
      </c>
      <c r="H48" s="15">
        <v>24</v>
      </c>
      <c r="I48" s="15">
        <v>32</v>
      </c>
      <c r="J48" s="15" t="s">
        <v>2397</v>
      </c>
    </row>
    <row r="49" spans="1:10" x14ac:dyDescent="0.5">
      <c r="A49" s="15" t="s">
        <v>449</v>
      </c>
      <c r="B49" s="15">
        <v>13.7</v>
      </c>
      <c r="C49" s="15">
        <v>20.6</v>
      </c>
      <c r="D49" s="15">
        <v>12.2</v>
      </c>
      <c r="E49" s="15">
        <v>16.7</v>
      </c>
      <c r="F49" s="15">
        <v>48</v>
      </c>
      <c r="G49" s="15">
        <v>58</v>
      </c>
      <c r="H49" s="15">
        <v>20</v>
      </c>
      <c r="I49" s="15">
        <v>28</v>
      </c>
      <c r="J49" s="15" t="s">
        <v>2398</v>
      </c>
    </row>
    <row r="50" spans="1:10" x14ac:dyDescent="0.5">
      <c r="A50" s="15" t="s">
        <v>494</v>
      </c>
      <c r="B50" s="15">
        <v>5.0999999999999996</v>
      </c>
      <c r="C50" s="15">
        <v>10.3</v>
      </c>
      <c r="D50" s="15">
        <v>99</v>
      </c>
      <c r="E50" s="15">
        <v>99</v>
      </c>
      <c r="F50" s="15">
        <v>35</v>
      </c>
      <c r="G50" s="15">
        <v>45</v>
      </c>
      <c r="H50" s="15">
        <v>99</v>
      </c>
      <c r="I50" s="15">
        <v>99</v>
      </c>
      <c r="J50" s="15" t="s">
        <v>2327</v>
      </c>
    </row>
    <row r="51" spans="1:10" x14ac:dyDescent="0.5">
      <c r="A51" s="15" t="s">
        <v>115</v>
      </c>
      <c r="B51" s="15">
        <v>5.0999999999999996</v>
      </c>
      <c r="C51" s="15">
        <v>10.3</v>
      </c>
      <c r="D51" s="15">
        <v>12.2</v>
      </c>
      <c r="E51" s="15">
        <v>16.7</v>
      </c>
      <c r="F51" s="15">
        <v>38</v>
      </c>
      <c r="G51" s="15">
        <v>48</v>
      </c>
      <c r="H51" s="15">
        <v>99</v>
      </c>
      <c r="I51" s="15">
        <v>99</v>
      </c>
      <c r="J51" s="15" t="s">
        <v>2328</v>
      </c>
    </row>
    <row r="52" spans="1:10" x14ac:dyDescent="0.5">
      <c r="A52" s="15" t="s">
        <v>339</v>
      </c>
      <c r="B52" s="15">
        <v>27.4</v>
      </c>
      <c r="C52" s="15">
        <v>39.4</v>
      </c>
      <c r="D52" s="15">
        <v>12.2</v>
      </c>
      <c r="E52" s="15">
        <v>15.2</v>
      </c>
      <c r="F52" s="15">
        <v>48</v>
      </c>
      <c r="G52" s="15">
        <v>58</v>
      </c>
      <c r="H52" s="15">
        <v>20</v>
      </c>
      <c r="I52" s="15">
        <v>28</v>
      </c>
      <c r="J52" s="15" t="s">
        <v>2329</v>
      </c>
    </row>
    <row r="53" spans="1:10" x14ac:dyDescent="0.5">
      <c r="A53" s="15" t="s">
        <v>367</v>
      </c>
      <c r="B53" s="15">
        <v>8.6</v>
      </c>
      <c r="C53" s="15">
        <v>13.7</v>
      </c>
      <c r="D53" s="15">
        <v>6.1</v>
      </c>
      <c r="E53" s="15">
        <v>9.1</v>
      </c>
      <c r="F53" s="15">
        <v>40</v>
      </c>
      <c r="G53" s="15">
        <v>50</v>
      </c>
      <c r="H53" s="15">
        <v>16</v>
      </c>
      <c r="I53" s="15">
        <v>24</v>
      </c>
      <c r="J53" s="15" t="s">
        <v>2330</v>
      </c>
    </row>
    <row r="54" spans="1:10" x14ac:dyDescent="0.5">
      <c r="A54" s="15" t="s">
        <v>260</v>
      </c>
      <c r="B54" s="15">
        <v>20.6</v>
      </c>
      <c r="C54" s="15">
        <v>30.9</v>
      </c>
      <c r="D54" s="15">
        <v>12.2</v>
      </c>
      <c r="E54" s="15">
        <v>16.7</v>
      </c>
      <c r="F54" s="15">
        <v>45</v>
      </c>
      <c r="G54" s="15">
        <v>55</v>
      </c>
      <c r="H54" s="15">
        <v>12</v>
      </c>
      <c r="I54" s="15">
        <v>20</v>
      </c>
      <c r="J54" s="15" t="s">
        <v>2331</v>
      </c>
    </row>
    <row r="55" spans="1:10" x14ac:dyDescent="0.5">
      <c r="A55" s="15" t="s">
        <v>375</v>
      </c>
      <c r="B55" s="15">
        <v>5.0999999999999996</v>
      </c>
      <c r="C55" s="15">
        <v>10.3</v>
      </c>
      <c r="D55" s="15">
        <v>99</v>
      </c>
      <c r="E55" s="15">
        <v>99</v>
      </c>
      <c r="F55" s="15">
        <v>35</v>
      </c>
      <c r="G55" s="15">
        <v>45</v>
      </c>
      <c r="H55" s="15">
        <v>99</v>
      </c>
      <c r="I55" s="15">
        <v>99</v>
      </c>
      <c r="J55" s="15" t="s">
        <v>2332</v>
      </c>
    </row>
    <row r="56" spans="1:10" x14ac:dyDescent="0.5">
      <c r="A56" s="15" t="s">
        <v>431</v>
      </c>
      <c r="B56" s="15">
        <v>27.4</v>
      </c>
      <c r="C56" s="15">
        <v>39.4</v>
      </c>
      <c r="D56" s="15">
        <v>15.2</v>
      </c>
      <c r="E56" s="15">
        <v>19.8</v>
      </c>
      <c r="F56" s="15">
        <v>48</v>
      </c>
      <c r="G56" s="15">
        <v>58</v>
      </c>
      <c r="H56" s="15">
        <v>18</v>
      </c>
      <c r="I56" s="15">
        <v>26</v>
      </c>
      <c r="J56" s="15" t="s">
        <v>2333</v>
      </c>
    </row>
    <row r="57" spans="1:10" x14ac:dyDescent="0.5">
      <c r="A57" s="15" t="s">
        <v>545</v>
      </c>
      <c r="B57" s="15">
        <v>27.4</v>
      </c>
      <c r="C57" s="15">
        <v>39.4</v>
      </c>
      <c r="D57" s="15">
        <v>12.2</v>
      </c>
      <c r="E57" s="15">
        <v>15.2</v>
      </c>
      <c r="F57" s="15">
        <v>48</v>
      </c>
      <c r="G57" s="15">
        <v>58</v>
      </c>
      <c r="H57" s="15">
        <v>22</v>
      </c>
      <c r="I57" s="15">
        <v>30</v>
      </c>
      <c r="J57" s="15" t="s">
        <v>2334</v>
      </c>
    </row>
    <row r="58" spans="1:10" x14ac:dyDescent="0.5">
      <c r="A58" s="15" t="s">
        <v>246</v>
      </c>
      <c r="B58" s="15">
        <v>13.7</v>
      </c>
      <c r="C58" s="15">
        <v>20.6</v>
      </c>
      <c r="D58" s="15">
        <v>12.2</v>
      </c>
      <c r="E58" s="15">
        <v>16.7</v>
      </c>
      <c r="F58" s="15">
        <v>42</v>
      </c>
      <c r="G58" s="15">
        <v>52</v>
      </c>
      <c r="H58" s="15">
        <v>14</v>
      </c>
      <c r="I58" s="15">
        <v>22</v>
      </c>
      <c r="J58" s="15" t="s">
        <v>2335</v>
      </c>
    </row>
    <row r="59" spans="1:10" x14ac:dyDescent="0.5">
      <c r="A59" s="15" t="s">
        <v>369</v>
      </c>
      <c r="B59" s="15">
        <v>24</v>
      </c>
      <c r="C59" s="15">
        <v>34.299999999999997</v>
      </c>
      <c r="D59" s="15">
        <v>12.2</v>
      </c>
      <c r="E59" s="15">
        <v>16.7</v>
      </c>
      <c r="F59" s="15">
        <v>45</v>
      </c>
      <c r="G59" s="15">
        <v>55</v>
      </c>
      <c r="H59" s="15">
        <v>12</v>
      </c>
      <c r="I59" s="15">
        <v>20</v>
      </c>
      <c r="J59" s="15" t="s">
        <v>2336</v>
      </c>
    </row>
    <row r="60" spans="1:10" x14ac:dyDescent="0.5">
      <c r="A60" s="15" t="s">
        <v>121</v>
      </c>
      <c r="B60" s="15">
        <v>10.3</v>
      </c>
      <c r="C60" s="15">
        <v>17.100000000000001</v>
      </c>
      <c r="D60" s="15">
        <v>12.2</v>
      </c>
      <c r="E60" s="15">
        <v>16.7</v>
      </c>
      <c r="F60" s="15">
        <v>38</v>
      </c>
      <c r="G60" s="15">
        <v>48</v>
      </c>
      <c r="H60" s="15">
        <v>16</v>
      </c>
      <c r="I60" s="15">
        <v>24</v>
      </c>
      <c r="J60" s="15" t="s">
        <v>2337</v>
      </c>
    </row>
    <row r="61" spans="1:10" x14ac:dyDescent="0.5">
      <c r="A61" s="15" t="s">
        <v>242</v>
      </c>
      <c r="B61" s="15">
        <v>27.4</v>
      </c>
      <c r="C61" s="15">
        <v>37.700000000000003</v>
      </c>
      <c r="D61" s="15">
        <v>15.2</v>
      </c>
      <c r="E61" s="15">
        <v>19.8</v>
      </c>
      <c r="F61" s="15">
        <v>45</v>
      </c>
      <c r="G61" s="15">
        <v>55</v>
      </c>
      <c r="H61" s="15">
        <v>16</v>
      </c>
      <c r="I61" s="15">
        <v>24</v>
      </c>
      <c r="J61" s="15" t="s">
        <v>2338</v>
      </c>
    </row>
    <row r="62" spans="1:10" x14ac:dyDescent="0.5">
      <c r="A62" s="15" t="s">
        <v>563</v>
      </c>
      <c r="B62" s="15">
        <v>30.9</v>
      </c>
      <c r="C62" s="15">
        <v>42.9</v>
      </c>
      <c r="D62" s="15">
        <v>15.2</v>
      </c>
      <c r="E62" s="15">
        <v>19.8</v>
      </c>
      <c r="F62" s="15">
        <v>45</v>
      </c>
      <c r="G62" s="15">
        <v>55</v>
      </c>
      <c r="H62" s="15">
        <v>14</v>
      </c>
      <c r="I62" s="15">
        <v>22</v>
      </c>
      <c r="J62" s="15" t="s">
        <v>2339</v>
      </c>
    </row>
    <row r="63" spans="1:10" x14ac:dyDescent="0.5">
      <c r="A63" s="15" t="s">
        <v>324</v>
      </c>
      <c r="B63" s="15">
        <v>20.6</v>
      </c>
      <c r="C63" s="15">
        <v>30.9</v>
      </c>
      <c r="D63" s="15">
        <v>15.2</v>
      </c>
      <c r="E63" s="15">
        <v>19.8</v>
      </c>
      <c r="F63" s="15">
        <v>45</v>
      </c>
      <c r="G63" s="15">
        <v>55</v>
      </c>
      <c r="H63" s="15">
        <v>14</v>
      </c>
      <c r="I63" s="15">
        <v>22</v>
      </c>
      <c r="J63" s="15" t="s">
        <v>2340</v>
      </c>
    </row>
    <row r="64" spans="1:10" x14ac:dyDescent="0.5">
      <c r="A64" s="15" t="s">
        <v>470</v>
      </c>
      <c r="B64" s="15">
        <v>5.0999999999999996</v>
      </c>
      <c r="C64" s="15">
        <v>10.3</v>
      </c>
      <c r="D64" s="15">
        <v>99</v>
      </c>
      <c r="E64" s="15">
        <v>99</v>
      </c>
      <c r="F64" s="15">
        <v>35</v>
      </c>
      <c r="G64" s="15">
        <v>45</v>
      </c>
      <c r="H64" s="15">
        <v>99</v>
      </c>
      <c r="I64" s="15">
        <v>99</v>
      </c>
      <c r="J64" s="15" t="s">
        <v>2341</v>
      </c>
    </row>
    <row r="65" spans="1:10" x14ac:dyDescent="0.5">
      <c r="A65" s="15" t="s">
        <v>181</v>
      </c>
      <c r="B65" s="15">
        <v>27.4</v>
      </c>
      <c r="C65" s="15">
        <v>39.4</v>
      </c>
      <c r="D65" s="15">
        <v>10.7</v>
      </c>
      <c r="E65" s="15">
        <v>13.7</v>
      </c>
      <c r="F65" s="15">
        <v>48</v>
      </c>
      <c r="G65" s="15">
        <v>58</v>
      </c>
      <c r="H65" s="15">
        <v>20</v>
      </c>
      <c r="I65" s="15">
        <v>28</v>
      </c>
      <c r="J65" s="15" t="s">
        <v>2342</v>
      </c>
    </row>
    <row r="66" spans="1:10" x14ac:dyDescent="0.5">
      <c r="A66" s="15" t="s">
        <v>625</v>
      </c>
      <c r="B66" s="15">
        <v>5.0999999999999996</v>
      </c>
      <c r="C66" s="15">
        <v>10.3</v>
      </c>
      <c r="D66" s="15">
        <v>10.7</v>
      </c>
      <c r="E66" s="15">
        <v>13.7</v>
      </c>
      <c r="F66" s="15">
        <v>35</v>
      </c>
      <c r="G66" s="15">
        <v>45</v>
      </c>
      <c r="H66" s="15">
        <v>14</v>
      </c>
      <c r="I66" s="15">
        <v>22</v>
      </c>
      <c r="J66" s="15" t="s">
        <v>2343</v>
      </c>
    </row>
    <row r="67" spans="1:10" x14ac:dyDescent="0.5">
      <c r="A67" s="15" t="s">
        <v>594</v>
      </c>
      <c r="B67" s="15">
        <v>17.100000000000001</v>
      </c>
      <c r="C67" s="15">
        <v>25.7</v>
      </c>
      <c r="D67" s="15">
        <v>15.2</v>
      </c>
      <c r="E67" s="15">
        <v>19.8</v>
      </c>
      <c r="F67" s="15">
        <v>45</v>
      </c>
      <c r="G67" s="15">
        <v>55</v>
      </c>
      <c r="H67" s="15">
        <v>18</v>
      </c>
      <c r="I67" s="15">
        <v>26</v>
      </c>
      <c r="J67" s="15" t="s">
        <v>2344</v>
      </c>
    </row>
    <row r="68" spans="1:10" x14ac:dyDescent="0.5">
      <c r="A68" s="15" t="s">
        <v>310</v>
      </c>
      <c r="B68" s="15">
        <v>20.6</v>
      </c>
      <c r="C68" s="15">
        <v>30.9</v>
      </c>
      <c r="D68" s="15">
        <v>12.2</v>
      </c>
      <c r="E68" s="15">
        <v>16.7</v>
      </c>
      <c r="F68" s="15">
        <v>42</v>
      </c>
      <c r="G68" s="15">
        <v>52</v>
      </c>
      <c r="H68" s="15">
        <v>12</v>
      </c>
      <c r="I68" s="15">
        <v>20</v>
      </c>
      <c r="J68" s="15" t="s">
        <v>2345</v>
      </c>
    </row>
    <row r="69" spans="1:10" x14ac:dyDescent="0.5">
      <c r="A69" s="15" t="s">
        <v>476</v>
      </c>
      <c r="B69" s="15">
        <v>27.4</v>
      </c>
      <c r="C69" s="15">
        <v>37.700000000000003</v>
      </c>
      <c r="D69" s="15">
        <v>15.2</v>
      </c>
      <c r="E69" s="15">
        <v>19.8</v>
      </c>
      <c r="F69" s="15">
        <v>45</v>
      </c>
      <c r="G69" s="15">
        <v>55</v>
      </c>
      <c r="H69" s="15">
        <v>16</v>
      </c>
      <c r="I69" s="15">
        <v>24</v>
      </c>
      <c r="J69" s="15" t="s">
        <v>2346</v>
      </c>
    </row>
    <row r="70" spans="1:10" x14ac:dyDescent="0.5">
      <c r="A70" s="15" t="s">
        <v>580</v>
      </c>
      <c r="B70" s="15">
        <v>24</v>
      </c>
      <c r="C70" s="15">
        <v>34.299999999999997</v>
      </c>
      <c r="D70" s="15">
        <v>12.2</v>
      </c>
      <c r="E70" s="15">
        <v>16.7</v>
      </c>
      <c r="F70" s="15">
        <v>42</v>
      </c>
      <c r="G70" s="15">
        <v>52</v>
      </c>
      <c r="H70" s="15">
        <v>12</v>
      </c>
      <c r="I70" s="15">
        <v>20</v>
      </c>
      <c r="J70" s="15" t="s">
        <v>2345</v>
      </c>
    </row>
    <row r="71" spans="1:10" x14ac:dyDescent="0.5">
      <c r="A71" s="15" t="s">
        <v>219</v>
      </c>
      <c r="B71" s="15">
        <v>24</v>
      </c>
      <c r="C71" s="15">
        <v>34.299999999999997</v>
      </c>
      <c r="D71" s="15">
        <v>15.2</v>
      </c>
      <c r="E71" s="15">
        <v>19.8</v>
      </c>
      <c r="F71" s="15">
        <v>45</v>
      </c>
      <c r="G71" s="15">
        <v>55</v>
      </c>
      <c r="H71" s="15">
        <v>14</v>
      </c>
      <c r="I71" s="15">
        <v>22</v>
      </c>
      <c r="J71" s="15" t="s">
        <v>2347</v>
      </c>
    </row>
    <row r="72" spans="1:10" x14ac:dyDescent="0.5">
      <c r="A72" s="15" t="s">
        <v>621</v>
      </c>
      <c r="B72" s="15">
        <v>5.0999999999999996</v>
      </c>
      <c r="C72" s="15">
        <v>10.3</v>
      </c>
      <c r="D72" s="15">
        <v>8.6</v>
      </c>
      <c r="E72" s="15">
        <v>12.2</v>
      </c>
      <c r="F72" s="15">
        <v>40</v>
      </c>
      <c r="G72" s="15">
        <v>50</v>
      </c>
      <c r="H72" s="15">
        <v>14</v>
      </c>
      <c r="I72" s="15">
        <v>22</v>
      </c>
      <c r="J72" s="15" t="s">
        <v>2348</v>
      </c>
    </row>
    <row r="73" spans="1:10" x14ac:dyDescent="0.5">
      <c r="A73" s="15" t="s">
        <v>223</v>
      </c>
      <c r="B73" s="15">
        <v>27.4</v>
      </c>
      <c r="C73" s="15">
        <v>39.4</v>
      </c>
      <c r="D73" s="15">
        <v>12.2</v>
      </c>
      <c r="E73" s="15">
        <v>15.2</v>
      </c>
      <c r="F73" s="15">
        <v>48</v>
      </c>
      <c r="G73" s="15">
        <v>58</v>
      </c>
      <c r="H73" s="15">
        <v>22</v>
      </c>
      <c r="I73" s="15">
        <v>30</v>
      </c>
      <c r="J73" s="15" t="s">
        <v>2349</v>
      </c>
    </row>
    <row r="74" spans="1:10" x14ac:dyDescent="0.5">
      <c r="A74" s="15" t="s">
        <v>619</v>
      </c>
      <c r="B74" s="15">
        <v>27.4</v>
      </c>
      <c r="C74" s="15">
        <v>37.700000000000003</v>
      </c>
      <c r="D74" s="15">
        <v>15.2</v>
      </c>
      <c r="E74" s="15">
        <v>19.8</v>
      </c>
      <c r="F74" s="15">
        <v>45</v>
      </c>
      <c r="G74" s="15">
        <v>55</v>
      </c>
      <c r="H74" s="15">
        <v>18</v>
      </c>
      <c r="I74" s="15">
        <v>26</v>
      </c>
      <c r="J74" s="15" t="s">
        <v>2350</v>
      </c>
    </row>
    <row r="75" spans="1:10" x14ac:dyDescent="0.5">
      <c r="A75" s="15" t="s">
        <v>383</v>
      </c>
      <c r="B75" s="15">
        <v>30.9</v>
      </c>
      <c r="C75" s="15">
        <v>42.9</v>
      </c>
      <c r="D75" s="15">
        <v>15.2</v>
      </c>
      <c r="E75" s="15">
        <v>19.8</v>
      </c>
      <c r="F75" s="15">
        <v>48</v>
      </c>
      <c r="G75" s="15">
        <v>58</v>
      </c>
      <c r="H75" s="15">
        <v>24</v>
      </c>
      <c r="I75" s="15">
        <v>32</v>
      </c>
      <c r="J75" s="15" t="s">
        <v>2351</v>
      </c>
    </row>
    <row r="76" spans="1:10" x14ac:dyDescent="0.5">
      <c r="A76" s="15" t="s">
        <v>221</v>
      </c>
      <c r="B76" s="15">
        <v>20.6</v>
      </c>
      <c r="C76" s="15">
        <v>30.9</v>
      </c>
      <c r="D76" s="15">
        <v>12.2</v>
      </c>
      <c r="E76" s="15">
        <v>16.7</v>
      </c>
      <c r="F76" s="15">
        <v>42</v>
      </c>
      <c r="G76" s="15">
        <v>52</v>
      </c>
      <c r="H76" s="15">
        <v>12</v>
      </c>
      <c r="I76" s="15">
        <v>20</v>
      </c>
      <c r="J76" s="15" t="s">
        <v>2352</v>
      </c>
    </row>
    <row r="77" spans="1:10" x14ac:dyDescent="0.5">
      <c r="A77" s="15" t="s">
        <v>393</v>
      </c>
      <c r="B77" s="15">
        <v>27.4</v>
      </c>
      <c r="C77" s="15">
        <v>39.4</v>
      </c>
      <c r="D77" s="15">
        <v>12.2</v>
      </c>
      <c r="E77" s="15">
        <v>15.2</v>
      </c>
      <c r="F77" s="15">
        <v>48</v>
      </c>
      <c r="G77" s="15">
        <v>58</v>
      </c>
      <c r="H77" s="15">
        <v>22</v>
      </c>
      <c r="I77" s="15">
        <v>30</v>
      </c>
      <c r="J77" s="15" t="s">
        <v>2353</v>
      </c>
    </row>
    <row r="78" spans="1:10" x14ac:dyDescent="0.5">
      <c r="A78" s="15" t="s">
        <v>535</v>
      </c>
      <c r="B78" s="15">
        <v>24</v>
      </c>
      <c r="C78" s="15">
        <v>34.299999999999997</v>
      </c>
      <c r="D78" s="15">
        <v>10.7</v>
      </c>
      <c r="E78" s="15">
        <v>13.7</v>
      </c>
      <c r="F78" s="15">
        <v>45</v>
      </c>
      <c r="G78" s="15">
        <v>55</v>
      </c>
      <c r="H78" s="15">
        <v>18</v>
      </c>
      <c r="I78" s="15">
        <v>26</v>
      </c>
      <c r="J78" s="15" t="s">
        <v>2329</v>
      </c>
    </row>
    <row r="79" spans="1:10" x14ac:dyDescent="0.5">
      <c r="A79" s="15" t="s">
        <v>547</v>
      </c>
      <c r="B79" s="15">
        <v>27.4</v>
      </c>
      <c r="C79" s="15">
        <v>39.4</v>
      </c>
      <c r="D79" s="15">
        <v>13.7</v>
      </c>
      <c r="E79" s="15">
        <v>16.7</v>
      </c>
      <c r="F79" s="15">
        <v>48</v>
      </c>
      <c r="G79" s="15">
        <v>58</v>
      </c>
      <c r="H79" s="15">
        <v>24</v>
      </c>
      <c r="I79" s="15">
        <v>32</v>
      </c>
      <c r="J79" s="15" t="s">
        <v>2354</v>
      </c>
    </row>
    <row r="80" spans="1:10" x14ac:dyDescent="0.5">
      <c r="A80" s="15" t="s">
        <v>190</v>
      </c>
      <c r="B80" s="15">
        <v>20.6</v>
      </c>
      <c r="C80" s="15">
        <v>30.9</v>
      </c>
      <c r="D80" s="15">
        <v>12.2</v>
      </c>
      <c r="E80" s="15">
        <v>16.7</v>
      </c>
      <c r="F80" s="15">
        <v>42</v>
      </c>
      <c r="G80" s="15">
        <v>52</v>
      </c>
      <c r="H80" s="15">
        <v>12</v>
      </c>
      <c r="I80" s="15">
        <v>20</v>
      </c>
      <c r="J80" s="15" t="s">
        <v>2355</v>
      </c>
    </row>
    <row r="81" spans="1:10" x14ac:dyDescent="0.5">
      <c r="A81" s="15" t="s">
        <v>165</v>
      </c>
      <c r="B81" s="15">
        <v>8.6</v>
      </c>
      <c r="C81" s="15">
        <v>13.7</v>
      </c>
      <c r="D81" s="15">
        <v>10.7</v>
      </c>
      <c r="E81" s="15">
        <v>13.7</v>
      </c>
      <c r="F81" s="15">
        <v>42</v>
      </c>
      <c r="G81" s="15">
        <v>52</v>
      </c>
      <c r="H81" s="15">
        <v>14</v>
      </c>
      <c r="I81" s="15">
        <v>22</v>
      </c>
      <c r="J81" s="15" t="s">
        <v>2356</v>
      </c>
    </row>
    <row r="82" spans="1:10" x14ac:dyDescent="0.5">
      <c r="A82" s="15" t="s">
        <v>435</v>
      </c>
      <c r="B82" s="15">
        <v>24</v>
      </c>
      <c r="C82" s="15">
        <v>34.299999999999997</v>
      </c>
      <c r="D82" s="15">
        <v>12.2</v>
      </c>
      <c r="E82" s="15">
        <v>16.7</v>
      </c>
      <c r="F82" s="15">
        <v>42</v>
      </c>
      <c r="G82" s="15">
        <v>52</v>
      </c>
      <c r="H82" s="15">
        <v>12</v>
      </c>
      <c r="I82" s="15">
        <v>20</v>
      </c>
      <c r="J82" s="15" t="s">
        <v>2357</v>
      </c>
    </row>
    <row r="83" spans="1:10" x14ac:dyDescent="0.5">
      <c r="A83" s="15" t="s">
        <v>480</v>
      </c>
      <c r="B83" s="15">
        <v>27.4</v>
      </c>
      <c r="C83" s="15">
        <v>37.700000000000003</v>
      </c>
      <c r="D83" s="15">
        <v>12.2</v>
      </c>
      <c r="E83" s="15">
        <v>16.7</v>
      </c>
      <c r="F83" s="15">
        <v>45</v>
      </c>
      <c r="G83" s="15">
        <v>55</v>
      </c>
      <c r="H83" s="15">
        <v>14</v>
      </c>
      <c r="I83" s="15">
        <v>22</v>
      </c>
      <c r="J83" s="15" t="s">
        <v>2358</v>
      </c>
    </row>
    <row r="84" spans="1:10" x14ac:dyDescent="0.5">
      <c r="A84" s="15" t="s">
        <v>604</v>
      </c>
      <c r="B84" s="15">
        <v>24</v>
      </c>
      <c r="C84" s="15">
        <v>34.299999999999997</v>
      </c>
      <c r="D84" s="15">
        <v>12.2</v>
      </c>
      <c r="E84" s="15">
        <v>16.7</v>
      </c>
      <c r="F84" s="15">
        <v>42</v>
      </c>
      <c r="G84" s="15">
        <v>52</v>
      </c>
      <c r="H84" s="15">
        <v>12</v>
      </c>
      <c r="I84" s="15">
        <v>20</v>
      </c>
      <c r="J84" s="15" t="s">
        <v>2359</v>
      </c>
    </row>
    <row r="85" spans="1:10" x14ac:dyDescent="0.5">
      <c r="A85" s="15" t="s">
        <v>389</v>
      </c>
      <c r="B85" s="15">
        <v>5.0999999999999996</v>
      </c>
      <c r="C85" s="15">
        <v>10.3</v>
      </c>
      <c r="D85" s="15">
        <v>99</v>
      </c>
      <c r="E85" s="15">
        <v>99</v>
      </c>
      <c r="F85" s="15">
        <v>35</v>
      </c>
      <c r="G85" s="15">
        <v>45</v>
      </c>
      <c r="H85" s="15">
        <v>99</v>
      </c>
      <c r="I85" s="15">
        <v>99</v>
      </c>
      <c r="J85" s="15" t="s">
        <v>2360</v>
      </c>
    </row>
    <row r="86" spans="1:10" x14ac:dyDescent="0.5">
      <c r="A86" s="15" t="s">
        <v>365</v>
      </c>
      <c r="B86" s="15">
        <v>30.9</v>
      </c>
      <c r="C86" s="15">
        <v>42.9</v>
      </c>
      <c r="D86" s="15">
        <v>15.2</v>
      </c>
      <c r="E86" s="15">
        <v>19.8</v>
      </c>
      <c r="F86" s="15">
        <v>48</v>
      </c>
      <c r="G86" s="15">
        <v>58</v>
      </c>
      <c r="H86" s="15">
        <v>24</v>
      </c>
      <c r="I86" s="15">
        <v>32</v>
      </c>
      <c r="J86" s="15" t="s">
        <v>2361</v>
      </c>
    </row>
    <row r="87" spans="1:10" x14ac:dyDescent="0.5">
      <c r="A87" s="15" t="s">
        <v>146</v>
      </c>
      <c r="B87" s="15">
        <v>10.3</v>
      </c>
      <c r="C87" s="15">
        <v>17.100000000000001</v>
      </c>
      <c r="D87" s="15">
        <v>99</v>
      </c>
      <c r="E87" s="15">
        <v>99</v>
      </c>
      <c r="F87" s="15">
        <v>38</v>
      </c>
      <c r="G87" s="15">
        <v>48</v>
      </c>
      <c r="H87" s="15">
        <v>99</v>
      </c>
      <c r="I87" s="15">
        <v>99</v>
      </c>
      <c r="J87" s="15" t="s">
        <v>2362</v>
      </c>
    </row>
    <row r="88" spans="1:10" x14ac:dyDescent="0.5">
      <c r="A88" s="15" t="s">
        <v>598</v>
      </c>
      <c r="B88" s="15">
        <v>3.4</v>
      </c>
      <c r="C88" s="15">
        <v>6.9</v>
      </c>
      <c r="D88" s="15">
        <v>8.6</v>
      </c>
      <c r="E88" s="15">
        <v>12.2</v>
      </c>
      <c r="F88" s="15">
        <v>40</v>
      </c>
      <c r="G88" s="15">
        <v>50</v>
      </c>
      <c r="H88" s="15">
        <v>99</v>
      </c>
      <c r="I88" s="15">
        <v>99</v>
      </c>
      <c r="J88" s="15" t="s">
        <v>2328</v>
      </c>
    </row>
    <row r="89" spans="1:10" x14ac:dyDescent="0.5">
      <c r="A89" s="15" t="s">
        <v>142</v>
      </c>
      <c r="B89" s="15">
        <v>5.0999999999999996</v>
      </c>
      <c r="C89" s="15">
        <v>10.3</v>
      </c>
      <c r="D89" s="15">
        <v>10.7</v>
      </c>
      <c r="E89" s="15">
        <v>13.7</v>
      </c>
      <c r="F89" s="15">
        <v>40</v>
      </c>
      <c r="G89" s="15">
        <v>50</v>
      </c>
      <c r="H89" s="15">
        <v>16</v>
      </c>
      <c r="I89" s="15">
        <v>24</v>
      </c>
      <c r="J89" s="15" t="s">
        <v>2363</v>
      </c>
    </row>
    <row r="90" spans="1:10" x14ac:dyDescent="0.5">
      <c r="A90" s="15" t="s">
        <v>152</v>
      </c>
      <c r="B90" s="15">
        <v>17.100000000000001</v>
      </c>
      <c r="C90" s="15">
        <v>25.7</v>
      </c>
      <c r="D90" s="15">
        <v>10.7</v>
      </c>
      <c r="E90" s="15">
        <v>13.7</v>
      </c>
      <c r="F90" s="15">
        <v>45</v>
      </c>
      <c r="G90" s="15">
        <v>55</v>
      </c>
      <c r="H90" s="15">
        <v>18</v>
      </c>
      <c r="I90" s="15">
        <v>26</v>
      </c>
      <c r="J90" s="15" t="s">
        <v>2364</v>
      </c>
    </row>
    <row r="91" spans="1:10" x14ac:dyDescent="0.5">
      <c r="A91" s="15" t="s">
        <v>640</v>
      </c>
      <c r="B91" s="15">
        <v>20.6</v>
      </c>
      <c r="C91" s="15">
        <v>30.9</v>
      </c>
      <c r="D91" s="15">
        <v>9.1</v>
      </c>
      <c r="E91" s="15">
        <v>12.2</v>
      </c>
      <c r="F91" s="15">
        <v>42</v>
      </c>
      <c r="G91" s="15">
        <v>52</v>
      </c>
      <c r="H91" s="15">
        <v>12</v>
      </c>
      <c r="I91" s="15">
        <v>20</v>
      </c>
      <c r="J91" s="15" t="s">
        <v>2365</v>
      </c>
    </row>
    <row r="92" spans="1:10" x14ac:dyDescent="0.5">
      <c r="A92" s="15" t="s">
        <v>533</v>
      </c>
      <c r="B92" s="15">
        <v>27.4</v>
      </c>
      <c r="C92" s="15">
        <v>37.700000000000003</v>
      </c>
      <c r="D92" s="15">
        <v>15.2</v>
      </c>
      <c r="E92" s="15">
        <v>19.8</v>
      </c>
      <c r="F92" s="15">
        <v>45</v>
      </c>
      <c r="G92" s="15">
        <v>55</v>
      </c>
      <c r="H92" s="15">
        <v>14</v>
      </c>
      <c r="I92" s="15">
        <v>22</v>
      </c>
      <c r="J92" s="15" t="s">
        <v>2366</v>
      </c>
    </row>
    <row r="93" spans="1:10" x14ac:dyDescent="0.5">
      <c r="A93" s="15" t="s">
        <v>381</v>
      </c>
      <c r="B93" s="15">
        <v>27.4</v>
      </c>
      <c r="C93" s="15">
        <v>39.4</v>
      </c>
      <c r="D93" s="15">
        <v>12.2</v>
      </c>
      <c r="E93" s="15">
        <v>15.2</v>
      </c>
      <c r="F93" s="15">
        <v>48</v>
      </c>
      <c r="G93" s="15">
        <v>58</v>
      </c>
      <c r="H93" s="15">
        <v>20</v>
      </c>
      <c r="I93" s="15">
        <v>28</v>
      </c>
      <c r="J93" s="15" t="s">
        <v>2367</v>
      </c>
    </row>
    <row r="94" spans="1:10" x14ac:dyDescent="0.5">
      <c r="A94" s="15" t="s">
        <v>441</v>
      </c>
      <c r="B94" s="15">
        <v>27.4</v>
      </c>
      <c r="C94" s="15">
        <v>37.700000000000003</v>
      </c>
      <c r="D94" s="15">
        <v>12.2</v>
      </c>
      <c r="E94" s="15">
        <v>16.7</v>
      </c>
      <c r="F94" s="15">
        <v>45</v>
      </c>
      <c r="G94" s="15">
        <v>55</v>
      </c>
      <c r="H94" s="15">
        <v>12</v>
      </c>
      <c r="I94" s="15">
        <v>20</v>
      </c>
      <c r="J94" s="15" t="s">
        <v>2368</v>
      </c>
    </row>
    <row r="95" spans="1:10" x14ac:dyDescent="0.5">
      <c r="A95" s="15" t="s">
        <v>250</v>
      </c>
      <c r="B95" s="15">
        <v>24</v>
      </c>
      <c r="C95" s="15">
        <v>34.299999999999997</v>
      </c>
      <c r="D95" s="15">
        <v>15.2</v>
      </c>
      <c r="E95" s="15">
        <v>19.8</v>
      </c>
      <c r="F95" s="15">
        <v>45</v>
      </c>
      <c r="G95" s="15">
        <v>55</v>
      </c>
      <c r="H95" s="15">
        <v>14</v>
      </c>
      <c r="I95" s="15">
        <v>22</v>
      </c>
      <c r="J95" s="15" t="s">
        <v>2340</v>
      </c>
    </row>
    <row r="96" spans="1:10" x14ac:dyDescent="0.5">
      <c r="A96" s="15" t="s">
        <v>256</v>
      </c>
      <c r="B96" s="15">
        <v>27.4</v>
      </c>
      <c r="C96" s="15">
        <v>39.4</v>
      </c>
      <c r="D96" s="15">
        <v>12.2</v>
      </c>
      <c r="E96" s="15">
        <v>15.2</v>
      </c>
      <c r="F96" s="15">
        <v>48</v>
      </c>
      <c r="G96" s="15">
        <v>58</v>
      </c>
      <c r="H96" s="15">
        <v>20</v>
      </c>
      <c r="I96" s="15">
        <v>28</v>
      </c>
      <c r="J96" s="15" t="s">
        <v>2367</v>
      </c>
    </row>
    <row r="97" spans="1:10" x14ac:dyDescent="0.5">
      <c r="A97" s="15" t="s">
        <v>337</v>
      </c>
      <c r="B97" s="15">
        <v>24</v>
      </c>
      <c r="C97" s="15">
        <v>34.299999999999997</v>
      </c>
      <c r="D97" s="15">
        <v>15.2</v>
      </c>
      <c r="E97" s="15">
        <v>19.8</v>
      </c>
      <c r="F97" s="15">
        <v>45</v>
      </c>
      <c r="G97" s="15">
        <v>55</v>
      </c>
      <c r="H97" s="15">
        <v>14</v>
      </c>
      <c r="I97" s="15">
        <v>22</v>
      </c>
      <c r="J97" s="15" t="s">
        <v>2369</v>
      </c>
    </row>
    <row r="98" spans="1:10" x14ac:dyDescent="0.5">
      <c r="A98" s="15" t="s">
        <v>188</v>
      </c>
      <c r="B98" s="15">
        <v>30.9</v>
      </c>
      <c r="C98" s="15">
        <v>42.9</v>
      </c>
      <c r="D98" s="15">
        <v>15.2</v>
      </c>
      <c r="E98" s="15">
        <v>19.8</v>
      </c>
      <c r="F98" s="15">
        <v>42</v>
      </c>
      <c r="G98" s="15">
        <v>52</v>
      </c>
      <c r="H98" s="15">
        <v>12</v>
      </c>
      <c r="I98" s="15">
        <v>20</v>
      </c>
      <c r="J98" s="15" t="s">
        <v>2370</v>
      </c>
    </row>
    <row r="99" spans="1:10" x14ac:dyDescent="0.5">
      <c r="A99" s="15" t="s">
        <v>228</v>
      </c>
      <c r="B99" s="15">
        <v>30.9</v>
      </c>
      <c r="C99" s="15">
        <v>42.9</v>
      </c>
      <c r="D99" s="15">
        <v>99</v>
      </c>
      <c r="E99" s="15">
        <v>99</v>
      </c>
      <c r="F99" s="15">
        <v>50</v>
      </c>
      <c r="G99" s="15">
        <v>60</v>
      </c>
      <c r="H99" s="15">
        <v>28</v>
      </c>
      <c r="I99" s="15">
        <v>36</v>
      </c>
      <c r="J99" s="15" t="s">
        <v>2371</v>
      </c>
    </row>
    <row r="100" spans="1:10" x14ac:dyDescent="0.5">
      <c r="A100" s="15" t="s">
        <v>638</v>
      </c>
      <c r="B100" s="15">
        <v>20.6</v>
      </c>
      <c r="C100" s="15">
        <v>30.9</v>
      </c>
      <c r="D100" s="15">
        <v>9.1</v>
      </c>
      <c r="E100" s="15">
        <v>12.2</v>
      </c>
      <c r="F100" s="15">
        <v>42</v>
      </c>
      <c r="G100" s="15">
        <v>52</v>
      </c>
      <c r="H100" s="15">
        <v>12</v>
      </c>
      <c r="I100" s="15">
        <v>20</v>
      </c>
      <c r="J100" s="15" t="s">
        <v>2372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9497-45D8-4953-8279-7F086B0DA1B6}">
  <dimension ref="A1:A33"/>
  <sheetViews>
    <sheetView workbookViewId="0">
      <selection sqref="A1:I1"/>
    </sheetView>
  </sheetViews>
  <sheetFormatPr defaultRowHeight="15.75" x14ac:dyDescent="0.5"/>
  <sheetData>
    <row r="1" spans="1:1" ht="23.25" x14ac:dyDescent="0.5">
      <c r="A1" s="10" t="s">
        <v>2269</v>
      </c>
    </row>
    <row r="3" spans="1:1" ht="17.649999999999999" x14ac:dyDescent="0.5">
      <c r="A3" s="11" t="s">
        <v>2270</v>
      </c>
    </row>
    <row r="4" spans="1:1" x14ac:dyDescent="0.5">
      <c r="A4" s="17"/>
    </row>
    <row r="5" spans="1:1" x14ac:dyDescent="0.5">
      <c r="A5" s="18" t="s">
        <v>2375</v>
      </c>
    </row>
    <row r="6" spans="1:1" x14ac:dyDescent="0.5">
      <c r="A6" s="18" t="s">
        <v>2271</v>
      </c>
    </row>
    <row r="7" spans="1:1" x14ac:dyDescent="0.5">
      <c r="A7" s="18" t="s">
        <v>2376</v>
      </c>
    </row>
    <row r="8" spans="1:1" x14ac:dyDescent="0.5">
      <c r="A8" s="18" t="s">
        <v>2272</v>
      </c>
    </row>
    <row r="9" spans="1:1" x14ac:dyDescent="0.5">
      <c r="A9" s="18" t="s">
        <v>2273</v>
      </c>
    </row>
    <row r="10" spans="1:1" x14ac:dyDescent="0.5">
      <c r="A10" s="18" t="s">
        <v>2373</v>
      </c>
    </row>
    <row r="11" spans="1:1" x14ac:dyDescent="0.5">
      <c r="A11" s="18" t="s">
        <v>2274</v>
      </c>
    </row>
    <row r="13" spans="1:1" ht="17.649999999999999" x14ac:dyDescent="0.5">
      <c r="A13" s="11" t="s">
        <v>2275</v>
      </c>
    </row>
    <row r="14" spans="1:1" x14ac:dyDescent="0.5">
      <c r="A14" s="17"/>
    </row>
    <row r="15" spans="1:1" x14ac:dyDescent="0.5">
      <c r="A15" s="18" t="s">
        <v>2377</v>
      </c>
    </row>
    <row r="16" spans="1:1" x14ac:dyDescent="0.5">
      <c r="A16" s="18" t="s">
        <v>2378</v>
      </c>
    </row>
    <row r="17" spans="1:1" x14ac:dyDescent="0.5">
      <c r="A17" s="18" t="s">
        <v>2379</v>
      </c>
    </row>
    <row r="18" spans="1:1" x14ac:dyDescent="0.5">
      <c r="A18" s="18" t="s">
        <v>2380</v>
      </c>
    </row>
    <row r="20" spans="1:1" ht="17.649999999999999" x14ac:dyDescent="0.5">
      <c r="A20" s="11" t="s">
        <v>2276</v>
      </c>
    </row>
    <row r="21" spans="1:1" x14ac:dyDescent="0.5">
      <c r="A21" s="17"/>
    </row>
    <row r="22" spans="1:1" x14ac:dyDescent="0.5">
      <c r="A22" s="17" t="s">
        <v>2277</v>
      </c>
    </row>
    <row r="23" spans="1:1" x14ac:dyDescent="0.5">
      <c r="A23" s="17" t="s">
        <v>2278</v>
      </c>
    </row>
    <row r="24" spans="1:1" x14ac:dyDescent="0.5">
      <c r="A24" s="17" t="s">
        <v>2279</v>
      </c>
    </row>
    <row r="25" spans="1:1" x14ac:dyDescent="0.5">
      <c r="A25" s="17" t="s">
        <v>2381</v>
      </c>
    </row>
    <row r="27" spans="1:1" ht="17.649999999999999" x14ac:dyDescent="0.5">
      <c r="A27" s="11" t="s">
        <v>2183</v>
      </c>
    </row>
    <row r="28" spans="1:1" x14ac:dyDescent="0.5">
      <c r="A28" s="17"/>
    </row>
    <row r="29" spans="1:1" x14ac:dyDescent="0.5">
      <c r="A29" s="17" t="s">
        <v>2280</v>
      </c>
    </row>
    <row r="30" spans="1:1" x14ac:dyDescent="0.5">
      <c r="A30" s="17" t="s">
        <v>2382</v>
      </c>
    </row>
    <row r="31" spans="1:1" x14ac:dyDescent="0.5">
      <c r="A31" s="17" t="s">
        <v>2383</v>
      </c>
    </row>
    <row r="32" spans="1:1" x14ac:dyDescent="0.5">
      <c r="A32" s="17" t="s">
        <v>2281</v>
      </c>
    </row>
    <row r="33" spans="1:1" x14ac:dyDescent="0.5">
      <c r="A33" s="17" t="s">
        <v>2291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A20-74F0-4949-9DF2-90CE4C25BBCB}">
  <dimension ref="A1:B25"/>
  <sheetViews>
    <sheetView workbookViewId="0"/>
  </sheetViews>
  <sheetFormatPr defaultRowHeight="15.75" x14ac:dyDescent="0.5"/>
  <cols>
    <col min="1" max="1" width="4.5625" bestFit="1" customWidth="1"/>
    <col min="2" max="2" width="11.6875" bestFit="1" customWidth="1"/>
  </cols>
  <sheetData>
    <row r="1" spans="1:2" x14ac:dyDescent="0.5">
      <c r="A1" t="s">
        <v>2110</v>
      </c>
      <c r="B1" t="s">
        <v>2111</v>
      </c>
    </row>
    <row r="2" spans="1:2" x14ac:dyDescent="0.5">
      <c r="A2">
        <v>1</v>
      </c>
      <c r="B2">
        <v>7.8644888082274669E-3</v>
      </c>
    </row>
    <row r="3" spans="1:2" x14ac:dyDescent="0.5">
      <c r="A3">
        <v>2</v>
      </c>
      <c r="B3">
        <v>5.4446460980036304E-3</v>
      </c>
    </row>
    <row r="4" spans="1:2" x14ac:dyDescent="0.5">
      <c r="A4">
        <v>3</v>
      </c>
      <c r="B4">
        <v>6.0496067755595895E-3</v>
      </c>
    </row>
    <row r="5" spans="1:2" x14ac:dyDescent="0.5">
      <c r="A5">
        <v>4</v>
      </c>
      <c r="B5">
        <v>5.3236539624924393E-3</v>
      </c>
    </row>
    <row r="6" spans="1:2" x14ac:dyDescent="0.5">
      <c r="A6">
        <v>5</v>
      </c>
      <c r="B6">
        <v>7.7434966727162749E-3</v>
      </c>
    </row>
    <row r="7" spans="1:2" x14ac:dyDescent="0.5">
      <c r="A7">
        <v>6</v>
      </c>
      <c r="B7">
        <v>2.1052631578947371E-2</v>
      </c>
    </row>
    <row r="8" spans="1:2" x14ac:dyDescent="0.5">
      <c r="A8">
        <v>7</v>
      </c>
      <c r="B8">
        <v>6.1705989110707821E-2</v>
      </c>
    </row>
    <row r="9" spans="1:2" x14ac:dyDescent="0.5">
      <c r="A9">
        <v>8</v>
      </c>
      <c r="B9">
        <v>6.9570477918935281E-2</v>
      </c>
    </row>
    <row r="10" spans="1:2" x14ac:dyDescent="0.5">
      <c r="A10">
        <v>9</v>
      </c>
      <c r="B10">
        <v>5.3236539624924396E-2</v>
      </c>
    </row>
    <row r="11" spans="1:2" x14ac:dyDescent="0.5">
      <c r="A11">
        <v>10</v>
      </c>
      <c r="B11">
        <v>5.2752571082879625E-2</v>
      </c>
    </row>
    <row r="12" spans="1:2" x14ac:dyDescent="0.5">
      <c r="A12">
        <v>11</v>
      </c>
      <c r="B12">
        <v>5.142165759225651E-2</v>
      </c>
    </row>
    <row r="13" spans="1:2" x14ac:dyDescent="0.5">
      <c r="A13">
        <v>12</v>
      </c>
      <c r="B13">
        <v>5.1300665456745317E-2</v>
      </c>
    </row>
    <row r="14" spans="1:2" x14ac:dyDescent="0.5">
      <c r="A14">
        <v>13</v>
      </c>
      <c r="B14">
        <v>5.2026618269812468E-2</v>
      </c>
    </row>
    <row r="15" spans="1:2" x14ac:dyDescent="0.5">
      <c r="A15">
        <v>14</v>
      </c>
      <c r="B15">
        <v>5.4325468844525111E-2</v>
      </c>
    </row>
    <row r="16" spans="1:2" x14ac:dyDescent="0.5">
      <c r="A16">
        <v>15</v>
      </c>
      <c r="B16">
        <v>5.4930429522081076E-2</v>
      </c>
    </row>
    <row r="17" spans="1:2" x14ac:dyDescent="0.5">
      <c r="A17">
        <v>16</v>
      </c>
      <c r="B17">
        <v>6.2915910465819735E-2</v>
      </c>
    </row>
    <row r="18" spans="1:2" x14ac:dyDescent="0.5">
      <c r="A18">
        <v>17</v>
      </c>
      <c r="B18">
        <v>8.1064730792498499E-2</v>
      </c>
    </row>
    <row r="19" spans="1:2" x14ac:dyDescent="0.5">
      <c r="A19">
        <v>18</v>
      </c>
      <c r="B19">
        <v>8.1064730792498499E-2</v>
      </c>
    </row>
    <row r="20" spans="1:2" x14ac:dyDescent="0.5">
      <c r="A20">
        <v>19</v>
      </c>
      <c r="B20">
        <v>6.2915910465819735E-2</v>
      </c>
    </row>
    <row r="21" spans="1:2" x14ac:dyDescent="0.5">
      <c r="A21">
        <v>20</v>
      </c>
      <c r="B21">
        <v>5.6866303690260141E-2</v>
      </c>
    </row>
    <row r="22" spans="1:2" x14ac:dyDescent="0.5">
      <c r="A22">
        <v>21</v>
      </c>
      <c r="B22">
        <v>3.9927404718693292E-2</v>
      </c>
    </row>
    <row r="23" spans="1:2" x14ac:dyDescent="0.5">
      <c r="A23">
        <v>22</v>
      </c>
      <c r="B23">
        <v>2.9038112522686031E-2</v>
      </c>
    </row>
    <row r="24" spans="1:2" x14ac:dyDescent="0.5">
      <c r="A24">
        <v>23</v>
      </c>
      <c r="B24">
        <v>2.0568663036902603E-2</v>
      </c>
    </row>
    <row r="25" spans="1:2" x14ac:dyDescent="0.5">
      <c r="A25">
        <v>24</v>
      </c>
      <c r="B25">
        <v>1.0889292196007261E-2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irena_ember_typemap</vt:lpstr>
      <vt:lpstr>gem_techmap</vt:lpstr>
      <vt:lpstr>gem_statusmap</vt:lpstr>
      <vt:lpstr>unsd_region_map</vt:lpstr>
      <vt:lpstr>unsd_product_map</vt:lpstr>
      <vt:lpstr>unsd_flow_map</vt:lpstr>
      <vt:lpstr>iamc_variables</vt:lpstr>
      <vt:lpstr>ar6r10_iso_mapping</vt:lpstr>
      <vt:lpstr>kinesys_region_map</vt:lpstr>
      <vt:lpstr>weo_pg_techs</vt:lpstr>
      <vt:lpstr>storage_techs</vt:lpstr>
      <vt:lpstr>dem_techs</vt:lpstr>
      <vt:lpstr>base_ts_design</vt:lpstr>
      <vt:lpstr>stress_periods_config</vt:lpstr>
      <vt:lpstr>_stress_periods_configFULL</vt:lpstr>
      <vt:lpstr>buildrates</vt:lpstr>
      <vt:lpstr>buildrate_readme</vt:lpstr>
      <vt:lpstr>fuel_prices</vt:lpstr>
      <vt:lpstr>fuel_prices_readme</vt:lpstr>
      <vt:lpstr>loadshape_roadtransport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Kanudia</cp:lastModifiedBy>
  <dcterms:modified xsi:type="dcterms:W3CDTF">2025-10-03T11:34:36Z</dcterms:modified>
</cp:coreProperties>
</file>